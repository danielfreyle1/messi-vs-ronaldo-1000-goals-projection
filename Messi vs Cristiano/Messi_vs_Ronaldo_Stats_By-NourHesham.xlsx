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By Season" sheetId="2" state="visible" r:id="rId4"/>
    <sheet name="By Calendar Year" sheetId="3" state="visible" r:id="rId5"/>
    <sheet name="By Age" sheetId="4" state="visible" r:id="rId6"/>
    <sheet name="Club Stats" sheetId="5" state="visible" r:id="rId7"/>
    <sheet name="Competition Breakdown" sheetId="6" state="visible" r:id="rId8"/>
    <sheet name="International Stats" sheetId="7" state="visible" r:id="rId9"/>
    <sheet name="UCL &amp; World Cup" sheetId="8" state="visible" r:id="rId10"/>
    <sheet name="Head-to-Head" sheetId="9" state="visible" r:id="rId11"/>
    <sheet name="El Clasico &amp; Finals" sheetId="10" state="visible" r:id="rId12"/>
    <sheet name="Favourite Opponents" sheetId="11" state="visible" r:id="rId13"/>
    <sheet name="Trophies" sheetId="12" state="visible" r:id="rId14"/>
    <sheet name="Shooting, Dribbling &amp; Passing" sheetId="13" state="visible" r:id="rId15"/>
    <sheet name="Who Is Better (Verdict)" sheetId="14" state="visible" r:id="rId16"/>
    <sheet name="Player Bios &amp; Records" sheetId="15" state="visible" r:id="rId17"/>
    <sheet name="Sources &amp; Note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<sst xmlns="http://schemas.openxmlformats.org/spreadsheetml/2006/main" count="482" uniqueCount="324">
  <si>
    <t xml:space="preserve">Messi vs Ronaldo — Career Statistics Overview</t>
  </si>
  <si>
    <t xml:space="preserve">Source: messivsronaldo.football (data as of 28 Aug 2026). Compiled for data analysis / presentation use.</t>
  </si>
  <si>
    <t xml:space="preserve">Metric</t>
  </si>
  <si>
    <t xml:space="preserve">Lionel Messi</t>
  </si>
  <si>
    <t xml:space="preserve">Cristiano Ronaldo</t>
  </si>
  <si>
    <t xml:space="preserve">Difference (Messi − Ronaldo)</t>
  </si>
  <si>
    <t xml:space="preserve">Total Goals</t>
  </si>
  <si>
    <t xml:space="preserve">Total Assists</t>
  </si>
  <si>
    <t xml:space="preserve">Goal Contributions (G+A)</t>
  </si>
  <si>
    <t xml:space="preserve">Total Appearances</t>
  </si>
  <si>
    <t xml:space="preserve">Goals per Game</t>
  </si>
  <si>
    <t xml:space="preserve">Hat-tricks</t>
  </si>
  <si>
    <t xml:space="preserve">Non-penalty Goals</t>
  </si>
  <si>
    <t xml:space="preserve">Outside-the-box Goals</t>
  </si>
  <si>
    <t xml:space="preserve">Key Passes</t>
  </si>
  <si>
    <t xml:space="preserve">Successful Dribbles</t>
  </si>
  <si>
    <t xml:space="preserve">Team Trophies</t>
  </si>
  <si>
    <t xml:space="preserve">Individual Honors</t>
  </si>
  <si>
    <t xml:space="preserve">Total Trophies + Honors</t>
  </si>
  <si>
    <t xml:space="preserve">Ballon d'Or Awards</t>
  </si>
  <si>
    <t xml:space="preserve">Note: 'Goal Contributions', per-game and other ratio figures are as published by the source site; some individual sub-metrics (e.g. international assists) show minor variance between the site's summary and detail pages — see the Sources &amp; Notes sheet.</t>
  </si>
  <si>
    <t xml:space="preserve">Additional Career Metrics</t>
  </si>
  <si>
    <t xml:space="preserve">Assists per Game</t>
  </si>
  <si>
    <t xml:space="preserve">Goals per 90 Minutes</t>
  </si>
  <si>
    <t xml:space="preserve">Non-penalty Goals per Game</t>
  </si>
  <si>
    <t xml:space="preserve">Goal Contributions per Game</t>
  </si>
  <si>
    <t xml:space="preserve">Minutes Played</t>
  </si>
  <si>
    <t xml:space="preserve">Penalties Scored</t>
  </si>
  <si>
    <t xml:space="preserve">Free-kick Goals</t>
  </si>
  <si>
    <t xml:space="preserve">Man of the Match Awards</t>
  </si>
  <si>
    <t xml:space="preserve">Source: messivsronaldo.football /stats and /stats/detailed pages. 'Minutes Played' and 'Man of the Match' are as published by the site and are not independently verifiable against an official record.</t>
  </si>
  <si>
    <t xml:space="preserve">Season-by-Season Statistics</t>
  </si>
  <si>
    <t xml:space="preserve">Official matches only (club + international combined), per player's own season boundaries (Aug–May for Europe-based seasons).</t>
  </si>
  <si>
    <t xml:space="preserve">Season</t>
  </si>
  <si>
    <t xml:space="preserve">Messi Apps</t>
  </si>
  <si>
    <t xml:space="preserve">Messi Goals</t>
  </si>
  <si>
    <t xml:space="preserve">Messi Assists</t>
  </si>
  <si>
    <t xml:space="preserve">Messi G/Game</t>
  </si>
  <si>
    <t xml:space="preserve">Ronaldo Apps</t>
  </si>
  <si>
    <t xml:space="preserve">Ronaldo Goals</t>
  </si>
  <si>
    <t xml:space="preserve">Ronaldo Assists</t>
  </si>
  <si>
    <t xml:space="preserve">Ronaldo G/Game</t>
  </si>
  <si>
    <t xml:space="preserve">2002/03</t>
  </si>
  <si>
    <t xml:space="preserve">—</t>
  </si>
  <si>
    <t xml:space="preserve">2003/04</t>
  </si>
  <si>
    <t xml:space="preserve">2004/05</t>
  </si>
  <si>
    <t xml:space="preserve">2005/06</t>
  </si>
  <si>
    <t xml:space="preserve">2006/07</t>
  </si>
  <si>
    <t xml:space="preserve">2007/08</t>
  </si>
  <si>
    <t xml:space="preserve">2008/09</t>
  </si>
  <si>
    <t xml:space="preserve">2009/10</t>
  </si>
  <si>
    <t xml:space="preserve">2010/11</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</si>
  <si>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</si>
  <si>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</si>
  <si>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</si>
  <si>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</si>
  <si>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</si>
  <si>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</si>
  <si>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</si>
  <si>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</si>
  <si>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</si>
  <si>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</si>
  <si>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</si>
  <si>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</si>
  <si>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</si>
  <si>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</si>
  <si>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</si>
  <si>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2026/27</t>
  </si>
  <si>
    <t xml:space="preserve">Career Total</t>
  </si>
  <si>
    <t xml:space="preserve">Source: messivsronaldo.football /messi/matches and /ronaldo/matches season tables. '—' = player had no registered appearances that season (e.g. Messi pre-debut, Ronaldo post-retirement-age gap years).</t>
  </si>
  <si>
    <t xml:space="preserve">Goals by Calendar Year</t>
  </si>
  <si>
    <t xml:space="preserve">All-competition goals scored in each calendar year (Jan–Dec), club + international combined.</t>
  </si>
  <si>
    <t xml:space="preserve">Year</t>
  </si>
  <si>
    <t xml:space="preserve">Source: messivsronaldo.football /stats/year. Assists/appearances not published by the site at yearly grain — use the 'By Season' sheet for full apps/goals/assists.</t>
  </si>
  <si>
    <t xml:space="preserve">Goals Scored by Age</t>
  </si>
  <si>
    <t xml:space="preserve">Goals scored during each age-year of each player's career, with running career total (formula-driven).</t>
  </si>
  <si>
    <t xml:space="preserve">Age</t>
  </si>
  <si>
    <t xml:space="preserve">Messi Goals (age)</t>
  </si>
  <si>
    <t xml:space="preserve">Messi Cumulative</t>
  </si>
  <si>
    <t xml:space="preserve">Ronaldo Goals (age)</t>
  </si>
  <si>
    <t xml:space="preserve">Ronaldo Cumulative</t>
  </si>
  <si>
    <t xml:space="preserve">Source: messivsronaldo.football /stats/by-age. The site's own cumulative totals by this table (Messi 919 by age 39, Ronaldo 976 by age 41) run a few goals below the official career totals used elsewhere in this workbook (922 / 977) — likely goals scored before/after the tracked age-year boundary. Treat the 'By Age' column as the site's age-attribution view rather than a reconciled total.</t>
  </si>
  <si>
    <t xml:space="preserve">Club-by-Club Statistics</t>
  </si>
  <si>
    <t xml:space="preserve">Appearances, goals, goals/game and titles won at each club.</t>
  </si>
  <si>
    <t xml:space="preserve">Club</t>
  </si>
  <si>
    <t xml:space="preserve">Appearances</t>
  </si>
  <si>
    <t xml:space="preserve">Goals</t>
  </si>
  <si>
    <t xml:space="preserve">Goals/Game</t>
  </si>
  <si>
    <t xml:space="preserve">Titles</t>
  </si>
  <si>
    <t xml:space="preserve">FC Barcelona</t>
  </si>
  <si>
    <t xml:space="preserve">Paris Saint-Germain</t>
  </si>
  <si>
    <t xml:space="preserve">Inter Miami</t>
  </si>
  <si>
    <t xml:space="preserve">Messi Total</t>
  </si>
  <si>
    <t xml:space="preserve">Sporting CP</t>
  </si>
  <si>
    <t xml:space="preserve">Manchester United</t>
  </si>
  <si>
    <t xml:space="preserve">Real Madrid</t>
  </si>
  <si>
    <t xml:space="preserve">Juventus</t>
  </si>
  <si>
    <t xml:space="preserve">Al-Nassr</t>
  </si>
  <si>
    <t xml:space="preserve">Ronaldo Total</t>
  </si>
  <si>
    <t xml:space="preserve">Note: 'Titles' = trophies won while registered at that club (club-level competitions only), per source site's club pages. Club-title sums (Messi 41, Ronaldo 30) plus each player's international trophies (5 and 3, see Trophies sheet) reconcile to the 'Team Trophies' totals of 46 and 33. Sporting CP title count shown as 0 (site lists none for that spell).</t>
  </si>
  <si>
    <t xml:space="preserve">Club Competition Breakdown (All Clubs Combined)</t>
  </si>
  <si>
    <t xml:space="preserve">Career appearances/goals/assists split by competition, aggregated across every club each player represented.</t>
  </si>
  <si>
    <t xml:space="preserve">Competition</t>
  </si>
  <si>
    <t xml:space="preserve">Assists</t>
  </si>
  <si>
    <t xml:space="preserve">La Liga</t>
  </si>
  <si>
    <t xml:space="preserve">UEFA Champions League</t>
  </si>
  <si>
    <t xml:space="preserve">Copa del Rey</t>
  </si>
  <si>
    <t xml:space="preserve">Major League Soccer</t>
  </si>
  <si>
    <t xml:space="preserve">Ligue 1</t>
  </si>
  <si>
    <t xml:space="preserve">Listed Subtotal</t>
  </si>
  <si>
    <t xml:space="preserve">Career Club Total (all competitions)</t>
  </si>
  <si>
    <t xml:space="preserve">Premier League</t>
  </si>
  <si>
    <t xml:space="preserve">Serie A</t>
  </si>
  <si>
    <t xml:space="preserve">Listed Subtotal (Apps/Goals only)</t>
  </si>
  <si>
    <t xml:space="preserve">Source: messivsronaldo.football /messi/club and /ronaldo/club. Each player's per-competition list is partial (the site's page only surfaced the largest competitions in the fetched content, plus smaller ones it summarized as 'additional competitions' without figures) — the 'Listed Subtotal' rows will therefore run below the 'Career Club Total' rows; the gap is goals/apps/assists in cups and competitions not itemized here (Supercopa, Trophée des Champions, Leagues Cup, Club World Cup, etc). Ronaldo's per-competition assists were not published on the source page.</t>
  </si>
  <si>
    <t xml:space="preserve">International Statistics</t>
  </si>
  <si>
    <t xml:space="preserve">Argentina (Messi) vs Portugal (Ronaldo) — national team career.</t>
  </si>
  <si>
    <t xml:space="preserve">Messi (Argentina)</t>
  </si>
  <si>
    <t xml:space="preserve">Ronaldo (Portugal)</t>
  </si>
  <si>
    <t xml:space="preserve">Caps (Appearances)</t>
  </si>
  <si>
    <t xml:space="preserve">International Titles</t>
  </si>
  <si>
    <t xml:space="preserve">Competition Breakdown</t>
  </si>
  <si>
    <t xml:space="preserve">World Cup</t>
  </si>
  <si>
    <t xml:space="preserve">World Cup Qualifiers</t>
  </si>
  <si>
    <t xml:space="preserve">Copa América</t>
  </si>
  <si>
    <t xml:space="preserve">Euro Championship</t>
  </si>
  <si>
    <t xml:space="preserve">Euro Qualifiers</t>
  </si>
  <si>
    <t xml:space="preserve">Friendlies</t>
  </si>
  <si>
    <t xml:space="preserve">International Honours</t>
  </si>
  <si>
    <t xml:space="preserve">Messi:</t>
  </si>
  <si>
    <t xml:space="preserve">World Cup (2022), Copa América (2021, 2024), Finalissima (2022), Olympic Gold (2008)</t>
  </si>
  <si>
    <t xml:space="preserve">Ronaldo:</t>
  </si>
  <si>
    <t xml:space="preserve">UEFA Euro (2016), UEFA Nations League (2019, 2025)</t>
  </si>
  <si>
    <t xml:space="preserve">Champions League &amp; World Cup</t>
  </si>
  <si>
    <t xml:space="preserve">Flagship club and international tournament records.</t>
  </si>
  <si>
    <t xml:space="preserve">Messi</t>
  </si>
  <si>
    <t xml:space="preserve">Ronaldo</t>
  </si>
  <si>
    <t xml:space="preserve">Titles Won</t>
  </si>
  <si>
    <t xml:space="preserve">Winning campaigns</t>
  </si>
  <si>
    <t xml:space="preserve">2006, 2009, 2011, 2015</t>
  </si>
  <si>
    <t xml:space="preserve">2008, 2014, 2016, 2017, 2018</t>
  </si>
  <si>
    <t xml:space="preserve">FIFA World Cup</t>
  </si>
  <si>
    <t xml:space="preserve">Messi won the 2022 World Cup (7 goals, 3 assists) and was runner-up in 2014 (4 goals, 1 assist).</t>
  </si>
  <si>
    <t xml:space="preserve">Head-to-Head Record (Playing Against Each Other)</t>
  </si>
  <si>
    <t xml:space="preserve">All 36 direct meetings between Messi's and Ronaldo's teams, April 2008 – December 2020.</t>
  </si>
  <si>
    <t xml:space="preserve">Overall Record</t>
  </si>
  <si>
    <t xml:space="preserve">Value</t>
  </si>
  <si>
    <t xml:space="preserve">Total Meetings</t>
  </si>
  <si>
    <t xml:space="preserve">Messi's Teams — Wins</t>
  </si>
  <si>
    <t xml:space="preserve">Draws</t>
  </si>
  <si>
    <t xml:space="preserve">Ronaldo's Teams — Wins</t>
  </si>
  <si>
    <t xml:space="preserve">Goals — Messi</t>
  </si>
  <si>
    <t xml:space="preserve">Goals — Ronaldo</t>
  </si>
  <si>
    <t xml:space="preserve">Assists — Messi</t>
  </si>
  <si>
    <t xml:space="preserve">Assists — Ronaldo</t>
  </si>
  <si>
    <t xml:space="preserve">Date Range</t>
  </si>
  <si>
    <t xml:space="preserve">April 2008 – December 2020</t>
  </si>
  <si>
    <t xml:space="preserve">Breakdown by Competition</t>
  </si>
  <si>
    <t xml:space="preserve">Meetings</t>
  </si>
  <si>
    <t xml:space="preserve">Messi Team W-D-L</t>
  </si>
  <si>
    <t xml:space="preserve">10-4-4</t>
  </si>
  <si>
    <t xml:space="preserve">Champions League</t>
  </si>
  <si>
    <t xml:space="preserve">2-2-2</t>
  </si>
  <si>
    <t xml:space="preserve">1-2-2</t>
  </si>
  <si>
    <t xml:space="preserve">Supercopa de España</t>
  </si>
  <si>
    <t xml:space="preserve">2-1-2</t>
  </si>
  <si>
    <t xml:space="preserve">Argentina vs Portugal (int'l)</t>
  </si>
  <si>
    <t xml:space="preserve">1-0-1</t>
  </si>
  <si>
    <t xml:space="preserve">Total</t>
  </si>
  <si>
    <t xml:space="preserve">Source: messivsronaldo.football /head-to-head. 'W-D-L' is from the perspective of Messi's team in that meeting. Site quote: "Messi's Barcelona was usually the stronger side of the era," though Ronaldo's teams advanced 5 times to 4 in knockout cup ties across their meetings.</t>
  </si>
  <si>
    <t xml:space="preserve">El Clásico &amp; Cup Finals Records</t>
  </si>
  <si>
    <t xml:space="preserve">El Clásico (Real Madrid vs Barcelona) — Individual Career Record</t>
  </si>
  <si>
    <t xml:space="preserve">Messi is El Clásico's all-time top scorer. In the 30 Clásicos where both players featured (2009–2018): Barcelona won 14, Real Madrid won 8, 8 draws.</t>
  </si>
  <si>
    <t xml:space="preserve">Cup Finals Record (All Competitions)</t>
  </si>
  <si>
    <t xml:space="preserve">Finals Played</t>
  </si>
  <si>
    <t xml:space="preserve">Goals in Finals</t>
  </si>
  <si>
    <t xml:space="preserve">Assists in Finals</t>
  </si>
  <si>
    <t xml:space="preserve">Wins</t>
  </si>
  <si>
    <t xml:space="preserve">Losses</t>
  </si>
  <si>
    <t xml:space="preserve">Source: messivsronaldo.football /stats/el-clasico and /stats/finals. Both players met in the 2009 Champions League final (Barcelona 2–0 Manchester United, Rome) — Messi scored via header. Messi's finals record includes four consecutive international final wins: 2021 Copa América, 2022 Finalissima, 2022 World Cup, 2024 Copa América.</t>
  </si>
  <si>
    <t xml:space="preserve">Favourite Opponents</t>
  </si>
  <si>
    <t xml:space="preserve">Top 5 opponents each player has scored the most goals against (career, all competitions).</t>
  </si>
  <si>
    <t xml:space="preserve">Lionel Messi — Top 5</t>
  </si>
  <si>
    <t xml:space="preserve">Opponent</t>
  </si>
  <si>
    <t xml:space="preserve">Sevilla</t>
  </si>
  <si>
    <t xml:space="preserve">Atlético Madrid</t>
  </si>
  <si>
    <t xml:space="preserve">Valencia</t>
  </si>
  <si>
    <t xml:space="preserve">Athletic Club</t>
  </si>
  <si>
    <t xml:space="preserve">Cristiano Ronaldo — Top 5</t>
  </si>
  <si>
    <t xml:space="preserve">Getafe</t>
  </si>
  <si>
    <t xml:space="preserve">Barcelona</t>
  </si>
  <si>
    <t xml:space="preserve">Celta Vigo</t>
  </si>
  <si>
    <t xml:space="preserve">Source: messivsronaldo.football /stats/favourite-opponents. Both players' single favourite victim is Sevilla, reflecting nine overlapping La Liga seasons. Note Ronaldo's list includes Barcelona (20 goals) — largely from El Clásico while at Real Madrid; see the 'El Clasico &amp; Finals' sheet for that fixture specifically.</t>
  </si>
  <si>
    <t xml:space="preserve">Trophy Cabinet — Detailed Breakdown</t>
  </si>
  <si>
    <t xml:space="preserve">Team trophies by category, plus individual honours.</t>
  </si>
  <si>
    <t xml:space="preserve">International</t>
  </si>
  <si>
    <t xml:space="preserve">UEFA Euro</t>
  </si>
  <si>
    <t xml:space="preserve">Finalissima</t>
  </si>
  <si>
    <t xml:space="preserve">UEFA Nations League</t>
  </si>
  <si>
    <t xml:space="preserve">Olympic Gold Medal</t>
  </si>
  <si>
    <t xml:space="preserve">International Subtotal</t>
  </si>
  <si>
    <t xml:space="preserve">Club Continental / Global</t>
  </si>
  <si>
    <t xml:space="preserve">FIFA Club World Cup</t>
  </si>
  <si>
    <t xml:space="preserve">UEFA Super Cup</t>
  </si>
  <si>
    <t xml:space="preserve">Arab Club Champions Cup</t>
  </si>
  <si>
    <t xml:space="preserve">Club Continental / Global Subtotal</t>
  </si>
  <si>
    <t xml:space="preserve">League Titles</t>
  </si>
  <si>
    <t xml:space="preserve">MLS Cup</t>
  </si>
  <si>
    <t xml:space="preserve">Supporters' Shield</t>
  </si>
  <si>
    <t xml:space="preserve">League Titles Subtotal</t>
  </si>
  <si>
    <t xml:space="preserve">Domestic Cups</t>
  </si>
  <si>
    <t xml:space="preserve">Trophée des Champions</t>
  </si>
  <si>
    <t xml:space="preserve">Leagues Cup</t>
  </si>
  <si>
    <t xml:space="preserve">FA Cup</t>
  </si>
  <si>
    <t xml:space="preserve">EFL Cup</t>
  </si>
  <si>
    <t xml:space="preserve">FA Community Shield</t>
  </si>
  <si>
    <t xml:space="preserve">Coppa Italia</t>
  </si>
  <si>
    <t xml:space="preserve">Supercoppa Italiana</t>
  </si>
  <si>
    <t xml:space="preserve">Domestic Cups Subtotal</t>
  </si>
  <si>
    <t xml:space="preserve">TOTAL TEAM TROPHIES</t>
  </si>
  <si>
    <t xml:space="preserve">Individual Awards</t>
  </si>
  <si>
    <t xml:space="preserve">Ballon d'Or</t>
  </si>
  <si>
    <t xml:space="preserve">European Golden Shoe</t>
  </si>
  <si>
    <t xml:space="preserve">FIFA The Best</t>
  </si>
  <si>
    <t xml:space="preserve">Champions League Top Scorer</t>
  </si>
  <si>
    <t xml:space="preserve">World Cup Golden Ball</t>
  </si>
  <si>
    <t xml:space="preserve">Individual Awards Subtotal</t>
  </si>
  <si>
    <t xml:space="preserve">GRAND TOTAL (Trophies + Individual Awards)</t>
  </si>
  <si>
    <t xml:space="preserve">Advanced Metrics — Shooting, Dribbling &amp; Chance Creation</t>
  </si>
  <si>
    <t xml:space="preserve">Provider tracked-data era (roughly 2009/10 onward, near-complete from 2014/15) unless marked 'career'.</t>
  </si>
  <si>
    <t xml:space="preserve">Shooting</t>
  </si>
  <si>
    <t xml:space="preserve">Total Shots (tracked era)</t>
  </si>
  <si>
    <t xml:space="preserve">Shots on Target (tracked era)</t>
  </si>
  <si>
    <t xml:space="preserve">Shot Accuracy %</t>
  </si>
  <si>
    <t xml:space="preserve">Dribbling</t>
  </si>
  <si>
    <t xml:space="preserve">Successful Dribbles (career)</t>
  </si>
  <si>
    <t xml:space="preserve">Completed Dribbles (tracked era)</t>
  </si>
  <si>
    <t xml:space="preserve">Dribbles per 90 min (tracked era)</t>
  </si>
  <si>
    <t xml:space="preserve">Key Passes &amp; Chance Creation</t>
  </si>
  <si>
    <t xml:space="preserve">Key Passes (career)</t>
  </si>
  <si>
    <t xml:space="preserve">Key Passes (tracked era)</t>
  </si>
  <si>
    <t xml:space="preserve">Key Passes per 90 min (tracked era)</t>
  </si>
  <si>
    <t xml:space="preserve">Goal Breakdown by Type (tracked-database goals)</t>
  </si>
  <si>
    <t xml:space="preserve">Tracked Goals Total</t>
  </si>
  <si>
    <t xml:space="preserve">Left Foot</t>
  </si>
  <si>
    <t xml:space="preserve">Right Foot</t>
  </si>
  <si>
    <t xml:space="preserve">Headers</t>
  </si>
  <si>
    <t xml:space="preserve">Outside the Box</t>
  </si>
  <si>
    <t xml:space="preserve">Penalties</t>
  </si>
  <si>
    <t xml:space="preserve">Non-penalty Goals (official)</t>
  </si>
  <si>
    <t xml:space="preserve">Source: messivsronaldo.football /stats/shooting, /stats/dribbling, /stats/key-passes, /stats/detailed. 'Tracked Goals Total' (951 / 1,002) is a shot-and-goal-type database that does not cover the same full career as the official goal tallies used elsewhere (922 / 977) — treat percentages within this block as internally consistent, but do not sum this block into the Overview sheet's totals.</t>
  </si>
  <si>
    <t xml:space="preserve">The Site's Verdict: Who Is Better?</t>
  </si>
  <si>
    <t xml:space="preserve">Site quote: "There is no single objective winner." A category-by-category tally across 25 categories, unweighted.</t>
  </si>
  <si>
    <t xml:space="preserve">Category Tally</t>
  </si>
  <si>
    <t xml:space="preserve">Count</t>
  </si>
  <si>
    <t xml:space="preserve">Categories Messi Leads</t>
  </si>
  <si>
    <t xml:space="preserve">Categories Ronaldo Leads</t>
  </si>
  <si>
    <t xml:space="preserve">Categories Level</t>
  </si>
  <si>
    <t xml:space="preserve">Total Categories</t>
  </si>
  <si>
    <t xml:space="preserve">Messi's Strongest Categories</t>
  </si>
  <si>
    <t xml:space="preserve">Category</t>
  </si>
  <si>
    <t xml:space="preserve">Assists (career)</t>
  </si>
  <si>
    <t xml:space="preserve">World Cup Goals</t>
  </si>
  <si>
    <t xml:space="preserve">Ronaldo's Strongest Categories</t>
  </si>
  <si>
    <t xml:space="preserve">Career Goals</t>
  </si>
  <si>
    <t xml:space="preserve">Champions League Goals</t>
  </si>
  <si>
    <t xml:space="preserve">International Goals</t>
  </si>
  <si>
    <t xml:space="preserve">Goals After Age 30</t>
  </si>
  <si>
    <t xml:space="preserve">Headed Goals</t>
  </si>
  <si>
    <t xml:space="preserve">Source: messivsronaldo.football /who-is-better. In this source page, career-goals and international-goals figures are quoted as Ronaldo 976 / Messi 919 and Ronaldo 146 / Messi 125 respectively — the 976/919 pairing is presented here as the Ronaldo-strengths row exactly as the site displayed it, even though it differs slightly from the 977/922 figures used on the Overview sheet (see Sources &amp; Notes for the full discrepancy list). The site offers a 'GOAT Calculator' letting readers weight categories themselves rather than declaring a single winner.</t>
  </si>
  <si>
    <t xml:space="preserve">Player Bios &amp; Records</t>
  </si>
  <si>
    <t xml:space="preserve">Basic Info</t>
  </si>
  <si>
    <t xml:space="preserve">Nationality</t>
  </si>
  <si>
    <t xml:space="preserve">Argentina</t>
  </si>
  <si>
    <t xml:space="preserve">Portugal</t>
  </si>
  <si>
    <t xml:space="preserve">Current Club</t>
  </si>
  <si>
    <t xml:space="preserve">Shirt Number</t>
  </si>
  <si>
    <t xml:space="preserve">Height</t>
  </si>
  <si>
    <t xml:space="preserve">1.70 m (5 ft 7 in)</t>
  </si>
  <si>
    <t xml:space="preserve">1.87 m (6 ft 2 in)</t>
  </si>
  <si>
    <t xml:space="preserve">Ballon d'Or Wins</t>
  </si>
  <si>
    <t xml:space="preserve">Records &amp; Milestones</t>
  </si>
  <si>
    <t xml:space="preserve">Record</t>
  </si>
  <si>
    <t xml:space="preserve">Holder</t>
  </si>
  <si>
    <t xml:space="preserve">Most Ballon d'Or awards</t>
  </si>
  <si>
    <t xml:space="preserve">Most European Golden Shoes</t>
  </si>
  <si>
    <t xml:space="preserve">Most goals in a calendar year</t>
  </si>
  <si>
    <t xml:space="preserve">Messi (2012)</t>
  </si>
  <si>
    <t xml:space="preserve">Most career goals for a single club</t>
  </si>
  <si>
    <t xml:space="preserve">Messi (Barcelona)</t>
  </si>
  <si>
    <t xml:space="preserve">Most FIFA World Cup matches played</t>
  </si>
  <si>
    <t xml:space="preserve">Most FIFA World Cup assists</t>
  </si>
  <si>
    <t xml:space="preserve">Most UEFA Champions League goals</t>
  </si>
  <si>
    <t xml:space="preserve">Most goals in men's international football</t>
  </si>
  <si>
    <t xml:space="preserve">First player to score at six different FIFA World Cups</t>
  </si>
  <si>
    <t xml:space="preserve">Only two men to play at six FIFA World Cups</t>
  </si>
  <si>
    <t xml:space="preserve">Messi &amp; Ronaldo</t>
  </si>
  <si>
    <t xml:space="preserve">6 each</t>
  </si>
  <si>
    <t xml:space="preserve">Source: messivsronaldo.football /messi and /ronaldo bio pages (data 'last updated Aug 27, 2026' per the Ronaldo page). Ronaldo's bio page separately states 'Most goals in men's international football: 143', which differs from the 146 figure used on the International Stats sheet and repeated on this player's own page elsewhere — both are the site's own numbers; the workbook keeps 146 as the primary figure since it recurs across more pages, and flags 143 here for transparency.</t>
  </si>
  <si>
    <t xml:space="preserve">Sources &amp; Notes</t>
  </si>
  <si>
    <t xml:space="preserve">Primary source</t>
  </si>
  <si>
    <t xml:space="preserve">https://messivsronaldo.football/ and its sub-pages: /stats, /trophies, /stats/goals, /stats/assists, /stats/club, /stats/international, /stats/champions-league, /stats/world-cup, /head-to-head, /stats/el-clasico, /stats/finals, /who-is-better, /stats/season, /stats/year, /stats/by-age, /stats/favourite-opponents, /ronaldo, /messi, /ronaldo/club, /messi/club, /ronaldo/matches, /messi/matches, /stats/detailed, /stats/dribbling, /stats/shooting, /stats/key-passes</t>
  </si>
  <si>
    <t xml:space="preserve">Data snapshot date</t>
  </si>
  <si>
    <t xml:space="preserve">26–28 August 2026 (as stated across the source site's pages; the 2026 FIFA World Cup was in progress around the time some of these pages were last refreshed, which is the likely cause of several small inconsistencies noted below)</t>
  </si>
  <si>
    <t xml:space="preserve">Compiled by</t>
  </si>
  <si>
    <t xml:space="preserve">Claude (Cowork), for Nour / Anutcairo</t>
  </si>
  <si>
    <t xml:space="preserve">Workbook structure</t>
  </si>
  <si>
    <t xml:space="preserve">Overview -&gt; By Season/Year/Age -&gt; Club &amp; Competition detail -&gt; International &amp; tournament detail -&gt; Head-to-Head/Clasico/Finals -&gt; Trophies -&gt; Advanced metrics -&gt; Verdict -&gt; Bios. Cells feeding 'Total/Subtotal/Difference' columns are live formulas, so editing an input number recalculates automatically.</t>
  </si>
  <si>
    <t xml:space="preserve">KNOWN DATA VARIANCES ACROSS SOURCE PAGES</t>
  </si>
  <si>
    <t xml:space="preserve">The source site does not always show the identical number for the same metric on different pages, most likely because pages are cached/refreshed at slightly different times (some already reflecting the still-in-progress 2026 World Cup, others not). This workbook reproduces each page's numbers faithfully on its own sheet rather than silently 'correcting' one to match another. Known cases:</t>
  </si>
  <si>
    <t xml:space="preserve">— Messi career goals</t>
  </si>
  <si>
    <t xml:space="preserve">922 (used on Overview, Club Stats, Messi bio page) vs 919 (quoted on the 'Who Is Better' verdict page and implied by the 'By Age' cumulative total)</t>
  </si>
  <si>
    <t xml:space="preserve">— Ronaldo career goals</t>
  </si>
  <si>
    <t xml:space="preserve">977 (used on Overview, Club Stats, Ronaldo bio page) vs 976 (quoted on the 'Who Is Better' verdict page)</t>
  </si>
  <si>
    <t xml:space="preserve">— Messi international assists</t>
  </si>
  <si>
    <t xml:space="preserve">66 (site homepage / Overview sheet) vs 63 (dedicated International Stats page)</t>
  </si>
  <si>
    <t xml:space="preserve">— Ronaldo international goals</t>
  </si>
  <si>
    <t xml:space="preserve">146 (International Stats sheet, used as primary) vs 143 (stated once on Ronaldo's own bio page as a world-record claim)</t>
  </si>
  <si>
    <t xml:space="preserve">— Messi World Cup appearances/assists</t>
  </si>
  <si>
    <t xml:space="preserve">31 apps / 9 assists (original /stats/world-cup page) vs 34 apps / 12 assists (/stats page and Messi bio page, likely including partial/updated 2026 tournament data)</t>
  </si>
  <si>
    <t xml:space="preserve">— 'Tracked' goal totals vs official totals</t>
  </si>
  <si>
    <t xml:space="preserve">The Shooting/Dribbling/Passing sheet's goal-type database totals (Messi 951, Ronaldo 1,002) are a separate, smaller-coverage dataset from the official career totals (922 / 977) used everywhere else — do not sum or directly compare the two.</t>
  </si>
  <si>
    <t xml:space="preserve">Scope caveat</t>
  </si>
  <si>
    <t xml:space="preserve">The source site aggregates statistics from multiple outlets under its own methodology (e.g. friendlies may be included in international totals; some advanced metrics only cover a 'tracked era' from roughly 2009/10 onward). Treat all figures as the site's own compiled record rather than an official governing-body statistic, and re-check anything decision-critical against a primary source (e.g. FIFA, UEFA, RFEF, club statistics departments) before publishing externally.</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</si>
</sst>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666666"/>
      <name val="Arial"/>
      <family val="0"/>
      <charset val="1"/>
    </font>
    <font>
      <b val="true"/>
      <sz val="11"/>
      <color rgb="FFFFFFFF"/>
      <name val="Arial"/>
      <family val="0"/>
      <charset val="1"/>
    </font>
    <font>
      <sz val="11"/>
      <name val="Arial"/>
      <family val="0"/>
      <charset val="1"/>
    </font>
    <font>
      <i val="true"/>
      <sz val="9"/>
      <color rgb="FF777777"/>
      <name val="Arial"/>
      <family val="0"/>
      <charset val="1"/>
    </font>
    <font>
      <b val="true"/>
      <sz val="12"/>
      <color rgb="FF1F3864"/>
      <name val="Arial"/>
      <family val="0"/>
      <charset val="1"/>
    </font>
    <font>
      <b val="true"/>
      <sz val="11"/>
      <name val="Arial"/>
      <family val="0"/>
      <charset val="1"/>
    </font>
    <font>
      <b val="true"/>
      <sz val="12"/>
      <color rgb="FF1F4E78"/>
      <name val="Arial"/>
      <family val="0"/>
      <charset val="1"/>
    </font>
    <font>
      <b val="true"/>
      <sz val="12"/>
      <color rgb="FF7A1F1F"/>
      <name val="Arial"/>
      <family val="0"/>
      <charset val="1"/>
    </font>
    <font>
      <b val="true"/>
      <sz val="12"/>
      <name val="Arial"/>
      <family val="0"/>
      <charset val="1"/>
    </font>
  </fonts>
  <fills count="8">
    <fill>
      <patternFill patternType="none"/>
    </fill>
    <fill>
      <patternFill patternType="gray125"/>
    </fill>
    <fill>
      <patternFill patternType="solid">
        <fgColor rgb="FF1F3864"/>
        <bgColor rgb="FF1F4E78"/>
      </patternFill>
    </fill>
    <fill>
      <patternFill patternType="solid">
        <fgColor rgb="FFDCE9F7"/>
        <bgColor rgb="FFCBE0F5"/>
      </patternFill>
    </fill>
    <fill>
      <patternFill patternType="solid">
        <fgColor rgb="FFFBE2E2"/>
        <bgColor rgb="FFF2F2F2"/>
      </patternFill>
    </fill>
    <fill>
      <patternFill patternType="solid">
        <fgColor rgb="FFF2F2F2"/>
        <bgColor rgb="FFFFFFFF"/>
      </patternFill>
    </fill>
    <fill>
      <patternFill patternType="solid">
        <fgColor rgb="FFCBE0F5"/>
        <bgColor rgb="FFDCE9F7"/>
      </patternFill>
    </fill>
    <fill>
      <patternFill patternType="solid">
        <fgColor rgb="FFF5CBCB"/>
        <bgColor rgb="FFFBE2E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5" fontId="0" fillId="5" borderId="1"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77777"/>
      <rgbColor rgb="FF9999FF"/>
      <rgbColor rgb="FF993366"/>
      <rgbColor rgb="FFF2F2F2"/>
      <rgbColor rgb="FFDCE9F7"/>
      <rgbColor rgb="FF660066"/>
      <rgbColor rgb="FFFF8080"/>
      <rgbColor rgb="FF0066CC"/>
      <rgbColor rgb="FFCBE0F5"/>
      <rgbColor rgb="FF000080"/>
      <rgbColor rgb="FFFF00FF"/>
      <rgbColor rgb="FFFFFF00"/>
      <rgbColor rgb="FF00FFFF"/>
      <rgbColor rgb="FF800080"/>
      <rgbColor rgb="FF800000"/>
      <rgbColor rgb="FF008080"/>
      <rgbColor rgb="FF0000FF"/>
      <rgbColor rgb="FF00CCFF"/>
      <rgbColor rgb="FFCCFFFF"/>
      <rgbColor rgb="FFCCFFCC"/>
      <rgbColor rgb="FFFBE2E2"/>
      <rgbColor rgb="FF99CCFF"/>
      <rgbColor rgb="FFFF99CC"/>
      <rgbColor rgb="FFCC99FF"/>
      <rgbColor rgb="FFF5CBCB"/>
      <rgbColor rgb="FF3366FF"/>
      <rgbColor rgb="FF33CCCC"/>
      <rgbColor rgb="FF99CC00"/>
      <rgbColor rgb="FFFFCC00"/>
      <rgbColor rgb="FFFF9900"/>
      <rgbColor rgb="FFFF6600"/>
      <rgbColor rgb="FF666666"/>
      <rgbColor rgb="FF969696"/>
      <rgbColor rgb="FF1F3864"/>
      <rgbColor rgb="FF339966"/>
      <rgbColor rgb="FF003300"/>
      <rgbColor rgb="FF333300"/>
      <rgbColor rgb="FF7A1F1F"/>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922</v>
      </c>
      <c r="C5" s="7" t="n">
        <v>977</v>
      </c>
      <c r="D5" s="8" t="n">
        <f aca="false">B5-C5</f>
        <v>-55</v>
      </c>
    </row>
    <row r="6" customFormat="false" ht="15" hidden="false" customHeight="true" outlineLevel="0" collapsed="false">
      <c r="A6" s="9" t="s">
        <v>7</v>
      </c>
      <c r="B6" s="10" t="n">
        <v>424</v>
      </c>
      <c r="C6" s="11" t="n">
        <v>260</v>
      </c>
      <c r="D6" s="12" t="n">
        <f aca="false">B6-C6</f>
        <v>164</v>
      </c>
    </row>
    <row r="7" customFormat="false" ht="15" hidden="false" customHeight="true" outlineLevel="0" collapsed="false">
      <c r="A7" s="5" t="s">
        <v>8</v>
      </c>
      <c r="B7" s="6" t="n">
        <v>1346</v>
      </c>
      <c r="C7" s="7" t="n">
        <v>1237</v>
      </c>
      <c r="D7" s="8" t="n">
        <f aca="false">B7-C7</f>
        <v>109</v>
      </c>
    </row>
    <row r="8" customFormat="false" ht="15" hidden="false" customHeight="true" outlineLevel="0" collapsed="false">
      <c r="A8" s="9" t="s">
        <v>9</v>
      </c>
      <c r="B8" s="10" t="n">
        <v>1168</v>
      </c>
      <c r="C8" s="11" t="n">
        <v>1332</v>
      </c>
      <c r="D8" s="12" t="n">
        <f aca="false">B8-C8</f>
        <v>-164</v>
      </c>
    </row>
    <row r="9" customFormat="false" ht="15" hidden="false" customHeight="true" outlineLevel="0" collapsed="false">
      <c r="A9" s="5" t="s">
        <v>10</v>
      </c>
      <c r="B9" s="6" t="n">
        <v>0.79</v>
      </c>
      <c r="C9" s="7" t="n">
        <v>0.73</v>
      </c>
      <c r="D9" s="8" t="n">
        <f aca="false">B9-C9</f>
        <v>0.0600000000000001</v>
      </c>
    </row>
    <row r="10" customFormat="false" ht="15" hidden="false" customHeight="true" outlineLevel="0" collapsed="false">
      <c r="A10" s="9" t="s">
        <v>11</v>
      </c>
      <c r="B10" s="10" t="n">
        <v>61</v>
      </c>
      <c r="C10" s="11" t="n">
        <v>66</v>
      </c>
      <c r="D10" s="12" t="n">
        <f aca="false">B10-C10</f>
        <v>-5</v>
      </c>
    </row>
    <row r="11" customFormat="false" ht="15" hidden="false" customHeight="true" outlineLevel="0" collapsed="false">
      <c r="A11" s="5" t="s">
        <v>12</v>
      </c>
      <c r="B11" s="6" t="n">
        <v>740</v>
      </c>
      <c r="C11" s="7" t="n">
        <v>765</v>
      </c>
      <c r="D11" s="8" t="n">
        <f aca="false">B11-C11</f>
        <v>-25</v>
      </c>
    </row>
    <row r="12" customFormat="false" ht="15" hidden="false" customHeight="true" outlineLevel="0" collapsed="false">
      <c r="A12" s="9" t="s">
        <v>13</v>
      </c>
      <c r="B12" s="10" t="n">
        <v>105</v>
      </c>
      <c r="C12" s="11" t="n">
        <v>68</v>
      </c>
      <c r="D12" s="12" t="n">
        <f aca="false">B12-C12</f>
        <v>37</v>
      </c>
    </row>
    <row r="13" customFormat="false" ht="15" hidden="false" customHeight="true" outlineLevel="0" collapsed="false">
      <c r="A13" s="5" t="s">
        <v>14</v>
      </c>
      <c r="B13" s="6" t="n">
        <v>1450</v>
      </c>
      <c r="C13" s="7" t="n">
        <v>950</v>
      </c>
      <c r="D13" s="8" t="n">
        <f aca="false">B13-C13</f>
        <v>500</v>
      </c>
    </row>
    <row r="14" customFormat="false" ht="15" hidden="false" customHeight="true" outlineLevel="0" collapsed="false">
      <c r="A14" s="9" t="s">
        <v>15</v>
      </c>
      <c r="B14" s="10" t="n">
        <v>3032</v>
      </c>
      <c r="C14" s="11" t="n">
        <v>1650</v>
      </c>
      <c r="D14" s="12" t="n">
        <f aca="false">B14-C14</f>
        <v>1382</v>
      </c>
    </row>
    <row r="15" customFormat="false" ht="15" hidden="false" customHeight="true" outlineLevel="0" collapsed="false">
      <c r="A15" s="5" t="s">
        <v>16</v>
      </c>
      <c r="B15" s="6" t="n">
        <v>46</v>
      </c>
      <c r="C15" s="7" t="n">
        <v>33</v>
      </c>
      <c r="D15" s="8" t="n">
        <f aca="false">B15-C15</f>
        <v>13</v>
      </c>
    </row>
    <row r="16" customFormat="false" ht="15" hidden="false" customHeight="true" outlineLevel="0" collapsed="false">
      <c r="A16" s="9" t="s">
        <v>17</v>
      </c>
      <c r="B16" s="10" t="n">
        <v>26</v>
      </c>
      <c r="C16" s="11" t="n">
        <v>19</v>
      </c>
      <c r="D16" s="12" t="n">
        <f aca="false">B16-C16</f>
        <v>7</v>
      </c>
    </row>
    <row r="17" customFormat="false" ht="15" hidden="false" customHeight="true" outlineLevel="0" collapsed="false">
      <c r="A17" s="5" t="s">
        <v>18</v>
      </c>
      <c r="B17" s="6" t="n">
        <v>72</v>
      </c>
      <c r="C17" s="7" t="n">
        <v>52</v>
      </c>
      <c r="D17" s="8" t="n">
        <f aca="false">B17-C17</f>
        <v>20</v>
      </c>
    </row>
    <row r="18" customFormat="false" ht="15" hidden="false" customHeight="true" outlineLevel="0" collapsed="false">
      <c r="A18" s="9" t="s">
        <v>19</v>
      </c>
      <c r="B18" s="10" t="n">
        <v>8</v>
      </c>
      <c r="C18" s="11" t="n">
        <v>5</v>
      </c>
      <c r="D18" s="12" t="n">
        <f aca="false">B18-C18</f>
        <v>3</v>
      </c>
    </row>
    <row r="20" customFormat="false" ht="30" hidden="false" customHeight="true" outlineLevel="0" collapsed="false">
      <c r="A20" s="13" t="s">
        <v>20</v>
      </c>
      <c r="B20" s="13"/>
      <c r="C20" s="13"/>
      <c r="D20" s="13"/>
    </row>
    <row r="23" customFormat="false" ht="15" hidden="false" customHeight="true" outlineLevel="0" collapsed="false">
      <c r="A23" s="14" t="s">
        <v>21</v>
      </c>
    </row>
    <row r="24" customFormat="false" ht="15" hidden="false" customHeight="true" outlineLevel="0" collapsed="false">
      <c r="A24" s="4" t="s">
        <v>2</v>
      </c>
      <c r="B24" s="4" t="s">
        <v>3</v>
      </c>
      <c r="C24" s="4" t="s">
        <v>4</v>
      </c>
      <c r="D24" s="4" t="s">
        <v>5</v>
      </c>
    </row>
    <row r="25" customFormat="false" ht="15" hidden="false" customHeight="true" outlineLevel="0" collapsed="false">
      <c r="A25" s="5" t="s">
        <v>22</v>
      </c>
      <c r="B25" s="6" t="n">
        <v>0.36</v>
      </c>
      <c r="C25" s="7" t="n">
        <v>0.2</v>
      </c>
      <c r="D25" s="8" t="n">
        <f aca="false">B25-C25</f>
        <v>0.16</v>
      </c>
    </row>
    <row r="26" customFormat="false" ht="15" hidden="false" customHeight="true" outlineLevel="0" collapsed="false">
      <c r="A26" s="9" t="s">
        <v>23</v>
      </c>
      <c r="B26" s="9" t="n">
        <v>0.87</v>
      </c>
      <c r="C26" s="9" t="n">
        <v>0.82</v>
      </c>
      <c r="D26" s="12" t="n">
        <f aca="false">B26-C26</f>
        <v>0.05</v>
      </c>
    </row>
    <row r="27" customFormat="false" ht="15" hidden="false" customHeight="true" outlineLevel="0" collapsed="false">
      <c r="A27" s="5" t="s">
        <v>24</v>
      </c>
      <c r="B27" s="6" t="n">
        <v>0.63</v>
      </c>
      <c r="C27" s="7" t="n">
        <v>0.57</v>
      </c>
      <c r="D27" s="8" t="n">
        <f aca="false">B27-C27</f>
        <v>0.0600000000000001</v>
      </c>
    </row>
    <row r="28" customFormat="false" ht="15" hidden="false" customHeight="true" outlineLevel="0" collapsed="false">
      <c r="A28" s="9" t="s">
        <v>25</v>
      </c>
      <c r="B28" s="9" t="n">
        <v>1.15</v>
      </c>
      <c r="C28" s="9" t="n">
        <v>0.93</v>
      </c>
      <c r="D28" s="12" t="n">
        <f aca="false">B28-C28</f>
        <v>0.22</v>
      </c>
    </row>
    <row r="29" customFormat="false" ht="15" hidden="false" customHeight="true" outlineLevel="0" collapsed="false">
      <c r="A29" s="5" t="s">
        <v>26</v>
      </c>
      <c r="B29" s="6" t="n">
        <v>95717</v>
      </c>
      <c r="C29" s="7" t="n">
        <v>107491</v>
      </c>
      <c r="D29" s="8" t="n">
        <f aca="false">B29-C29</f>
        <v>-11774</v>
      </c>
    </row>
    <row r="30" customFormat="false" ht="15" hidden="false" customHeight="true" outlineLevel="0" collapsed="false">
      <c r="A30" s="9" t="s">
        <v>27</v>
      </c>
      <c r="B30" s="9" t="n">
        <v>109</v>
      </c>
      <c r="C30" s="9" t="n">
        <v>164</v>
      </c>
      <c r="D30" s="12" t="n">
        <f aca="false">B30-C30</f>
        <v>-55</v>
      </c>
    </row>
    <row r="31" customFormat="false" ht="15" hidden="false" customHeight="true" outlineLevel="0" collapsed="false">
      <c r="A31" s="5" t="s">
        <v>28</v>
      </c>
      <c r="B31" s="6" t="n">
        <v>65</v>
      </c>
      <c r="C31" s="7" t="n">
        <v>63</v>
      </c>
      <c r="D31" s="8" t="n">
        <f aca="false">B31-C31</f>
        <v>2</v>
      </c>
    </row>
    <row r="32" customFormat="false" ht="15" hidden="false" customHeight="true" outlineLevel="0" collapsed="false">
      <c r="A32" s="9" t="s">
        <v>29</v>
      </c>
      <c r="B32" s="9" t="n">
        <v>451</v>
      </c>
      <c r="C32" s="9" t="n">
        <v>246</v>
      </c>
      <c r="D32" s="12" t="n">
        <f aca="false">B32-C32</f>
        <v>205</v>
      </c>
    </row>
    <row r="34" customFormat="false" ht="27.75" hidden="false" customHeight="true" outlineLevel="0" collapsed="false">
      <c r="A34" s="15" t="s">
        <v>30</v>
      </c>
      <c r="B34" s="15"/>
      <c r="C34" s="15"/>
      <c r="D34" s="15"/>
    </row>
  </sheetData>
  <mergeCells count="2">
    <mergeCell ref="A20:D20"/>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1"/>
    <col collapsed="false" customWidth="true" hidden="false" outlineLevel="0" max="4" min="4" style="1" width="12"/>
    <col collapsed="false" customWidth="true" hidden="false" outlineLevel="0" max="5" min="5" style="1" width="11"/>
    <col collapsed="false" customWidth="true" hidden="false" outlineLevel="0" max="7" min="6" style="1" width="12"/>
    <col collapsed="false" customWidth="true" hidden="false" outlineLevel="0" max="8" min="8" style="1" width="13"/>
    <col collapsed="false" customWidth="true" hidden="false" outlineLevel="0" max="9" min="9" style="1" width="12"/>
  </cols>
  <sheetData>
    <row r="1" customFormat="false" ht="17.25" hidden="false" customHeight="true" outlineLevel="0" collapsed="false">
      <c r="A1" s="2" t="s">
        <v>31</v>
      </c>
    </row>
    <row r="2" customFormat="false" ht="15" hidden="false" customHeight="true" outlineLevel="0" collapsed="false">
      <c r="A2" s="3" t="s">
        <v>32</v>
      </c>
    </row>
    <row r="4" customFormat="false" ht="15" hidden="false" customHeight="true" outlineLevel="0" collapsed="false">
      <c r="A4" s="4" t="s">
        <v>33</v>
      </c>
      <c r="B4" s="4" t="s">
        <v>34</v>
      </c>
      <c r="C4" s="4" t="s">
        <v>35</v>
      </c>
      <c r="D4" s="4" t="s">
        <v>36</v>
      </c>
      <c r="E4" s="4" t="s">
        <v>37</v>
      </c>
      <c r="F4" s="4" t="s">
        <v>38</v>
      </c>
      <c r="G4" s="4" t="s">
        <v>39</v>
      </c>
      <c r="H4" s="4" t="s">
        <v>40</v>
      </c>
      <c r="I4" s="4" t="s">
        <v>41</v>
      </c>
    </row>
    <row r="5" customFormat="false" ht="15" hidden="false" customHeight="true" outlineLevel="0" collapsed="false">
      <c r="A5" s="5" t="s">
        <v>42</v>
      </c>
      <c r="B5" s="6" t="s">
        <v>43</v>
      </c>
      <c r="C5" s="6" t="s">
        <v>43</v>
      </c>
      <c r="D5" s="6" t="s">
        <v>43</v>
      </c>
      <c r="E5" s="6" t="s">
        <v>43</v>
      </c>
      <c r="F5" s="7" t="n">
        <v>31</v>
      </c>
      <c r="G5" s="7" t="n">
        <v>5</v>
      </c>
      <c r="H5" s="7" t="n">
        <v>4</v>
      </c>
      <c r="I5" s="7" t="n">
        <f aca="false">IFERROR(ROUND(G5/F5,2),"—")</f>
        <v>0.16</v>
      </c>
    </row>
    <row r="6" customFormat="false" ht="15" hidden="false" customHeight="true" outlineLevel="0" collapsed="false">
      <c r="A6" s="9" t="s">
        <v>44</v>
      </c>
      <c r="B6" s="9" t="s">
        <v>43</v>
      </c>
      <c r="C6" s="9" t="s">
        <v>43</v>
      </c>
      <c r="D6" s="9" t="s">
        <v>43</v>
      </c>
      <c r="E6" s="9" t="s">
        <v>43</v>
      </c>
      <c r="F6" s="9" t="n">
        <v>53</v>
      </c>
      <c r="G6" s="9" t="n">
        <v>8</v>
      </c>
      <c r="H6" s="9" t="n">
        <v>9</v>
      </c>
      <c r="I6" s="9" t="n">
        <f aca="false">IFERROR(ROUND(G6/F6,2),"—")</f>
        <v>0.15</v>
      </c>
    </row>
    <row r="7" customFormat="false" ht="15" hidden="false" customHeight="true" outlineLevel="0" collapsed="false">
      <c r="A7" s="5" t="s">
        <v>45</v>
      </c>
      <c r="B7" s="6" t="n">
        <v>9</v>
      </c>
      <c r="C7" s="6" t="n">
        <v>1</v>
      </c>
      <c r="D7" s="6" t="n">
        <v>0</v>
      </c>
      <c r="E7" s="6" t="n">
        <f aca="false">IFERROR(ROUND(C7/B7,2),"—")</f>
        <v>0.11</v>
      </c>
      <c r="F7" s="7" t="n">
        <v>60</v>
      </c>
      <c r="G7" s="7" t="n">
        <v>16</v>
      </c>
      <c r="H7" s="7" t="n">
        <v>12</v>
      </c>
      <c r="I7" s="7" t="n">
        <f aca="false">IFERROR(ROUND(G7/F7,2),"—")</f>
        <v>0.27</v>
      </c>
    </row>
    <row r="8" customFormat="false" ht="15" hidden="false" customHeight="true" outlineLevel="0" collapsed="false">
      <c r="A8" s="9" t="s">
        <v>46</v>
      </c>
      <c r="B8" s="9" t="n">
        <v>35</v>
      </c>
      <c r="C8" s="9" t="n">
        <v>10</v>
      </c>
      <c r="D8" s="9" t="n">
        <v>6</v>
      </c>
      <c r="E8" s="9" t="n">
        <f aca="false">IFERROR(ROUND(C8/B8,2),"—")</f>
        <v>0.29</v>
      </c>
      <c r="F8" s="9" t="n">
        <v>62</v>
      </c>
      <c r="G8" s="9" t="n">
        <v>15</v>
      </c>
      <c r="H8" s="9" t="n">
        <v>10</v>
      </c>
      <c r="I8" s="9" t="n">
        <f aca="false">IFERROR(ROUND(G8/F8,2),"—")</f>
        <v>0.24</v>
      </c>
    </row>
    <row r="9" customFormat="false" ht="15" hidden="false" customHeight="true" outlineLevel="0" collapsed="false">
      <c r="A9" s="5" t="s">
        <v>47</v>
      </c>
      <c r="B9" s="6" t="n">
        <v>46</v>
      </c>
      <c r="C9" s="6" t="n">
        <v>21</v>
      </c>
      <c r="D9" s="6" t="n">
        <v>5</v>
      </c>
      <c r="E9" s="6" t="n">
        <f aca="false">IFERROR(ROUND(C9/B9,2),"—")</f>
        <v>0.46</v>
      </c>
      <c r="F9" s="7" t="n">
        <v>61</v>
      </c>
      <c r="G9" s="7" t="n">
        <v>28</v>
      </c>
      <c r="H9" s="7" t="n">
        <v>16</v>
      </c>
      <c r="I9" s="7" t="n">
        <f aca="false">IFERROR(ROUND(G9/F9,2),"—")</f>
        <v>0.46</v>
      </c>
    </row>
    <row r="10" customFormat="false" ht="15" hidden="false" customHeight="true" outlineLevel="0" collapsed="false">
      <c r="A10" s="9" t="s">
        <v>48</v>
      </c>
      <c r="B10" s="9" t="n">
        <v>50</v>
      </c>
      <c r="C10" s="9" t="n">
        <v>19</v>
      </c>
      <c r="D10" s="9" t="n">
        <v>16</v>
      </c>
      <c r="E10" s="9" t="n">
        <f aca="false">IFERROR(ROUND(C10/B10,2),"—")</f>
        <v>0.38</v>
      </c>
      <c r="F10" s="9" t="n">
        <v>61</v>
      </c>
      <c r="G10" s="9" t="n">
        <v>46</v>
      </c>
      <c r="H10" s="9" t="n">
        <v>7</v>
      </c>
      <c r="I10" s="9" t="n">
        <f aca="false">IFERROR(ROUND(G10/F10,2),"—")</f>
        <v>0.75</v>
      </c>
    </row>
    <row r="11" customFormat="false" ht="15" hidden="false" customHeight="true" outlineLevel="0" collapsed="false">
      <c r="A11" s="5" t="s">
        <v>49</v>
      </c>
      <c r="B11" s="6" t="n">
        <v>60</v>
      </c>
      <c r="C11" s="6" t="n">
        <v>41</v>
      </c>
      <c r="D11" s="6" t="n">
        <v>19</v>
      </c>
      <c r="E11" s="6" t="n">
        <f aca="false">IFERROR(ROUND(C11/B11,2),"—")</f>
        <v>0.68</v>
      </c>
      <c r="F11" s="7" t="n">
        <v>60</v>
      </c>
      <c r="G11" s="7" t="n">
        <v>27</v>
      </c>
      <c r="H11" s="7" t="n">
        <v>9</v>
      </c>
      <c r="I11" s="7" t="n">
        <f aca="false">IFERROR(ROUND(G11/F11,2),"—")</f>
        <v>0.45</v>
      </c>
    </row>
    <row r="12" customFormat="false" ht="15" hidden="false" customHeight="true" outlineLevel="0" collapsed="false">
      <c r="A12" s="9" t="s">
        <v>50</v>
      </c>
      <c r="B12" s="9" t="n">
        <v>64</v>
      </c>
      <c r="C12" s="9" t="n">
        <v>48</v>
      </c>
      <c r="D12" s="9" t="n">
        <v>12</v>
      </c>
      <c r="E12" s="9" t="n">
        <f aca="false">IFERROR(ROUND(C12/B12,2),"—")</f>
        <v>0.75</v>
      </c>
      <c r="F12" s="9" t="n">
        <v>46</v>
      </c>
      <c r="G12" s="9" t="n">
        <v>34</v>
      </c>
      <c r="H12" s="9" t="n">
        <v>11</v>
      </c>
      <c r="I12" s="9" t="n">
        <f aca="false">IFERROR(ROUND(G12/F12,2),"—")</f>
        <v>0.74</v>
      </c>
    </row>
    <row r="13" customFormat="false" ht="15" hidden="false" customHeight="true" outlineLevel="0" collapsed="false">
      <c r="A13" s="5" t="s">
        <v>51</v>
      </c>
      <c r="B13" s="6" t="n">
        <v>66</v>
      </c>
      <c r="C13" s="6" t="n">
        <v>57</v>
      </c>
      <c r="D13" s="6" t="n">
        <v>32</v>
      </c>
      <c r="E13" s="6" t="n">
        <f aca="false">IFERROR(ROUND(C13/B13,2),"—")</f>
        <v>0.86</v>
      </c>
      <c r="F13" s="7" t="n">
        <v>59</v>
      </c>
      <c r="G13" s="7" t="n">
        <v>56</v>
      </c>
      <c r="H13" s="7" t="n">
        <v>19</v>
      </c>
      <c r="I13" s="7" t="n">
        <f aca="false">IFERROR(ROUND(G13/F13,2),"—")</f>
        <v>0.95</v>
      </c>
    </row>
    <row r="14" customFormat="false" ht="15" hidden="false" customHeight="true" outlineLevel="0" collapsed="false">
      <c r="A14" s="9" t="s">
        <v>52</v>
      </c>
      <c r="B14" s="9" t="n">
        <v>69</v>
      </c>
      <c r="C14" s="9" t="n">
        <v>82</v>
      </c>
      <c r="D14" s="9" t="n">
        <v>36</v>
      </c>
      <c r="E14" s="9" t="n">
        <f aca="false">IFERROR(ROUND(C14/B14,2),"—")</f>
        <v>1.19</v>
      </c>
      <c r="F14" s="9" t="n">
        <v>69</v>
      </c>
      <c r="G14" s="9" t="n">
        <v>69</v>
      </c>
      <c r="H14" s="9" t="n">
        <v>17</v>
      </c>
      <c r="I14" s="9" t="n">
        <f aca="false">IFERROR(ROUND(G14/F14,2),"—")</f>
        <v>1</v>
      </c>
    </row>
    <row r="15" customFormat="false" ht="15" hidden="false" customHeight="true" outlineLevel="0" collapsed="false">
      <c r="A15" s="5" t="s">
        <v>53</v>
      </c>
      <c r="B15" s="6" t="n">
        <v>62</v>
      </c>
      <c r="C15" s="6" t="n">
        <v>69</v>
      </c>
      <c r="D15" s="6" t="n">
        <v>18</v>
      </c>
      <c r="E15" s="6" t="n">
        <f aca="false">IFERROR(ROUND(C15/B15,2),"—")</f>
        <v>1.11</v>
      </c>
      <c r="F15" s="7" t="n">
        <v>64</v>
      </c>
      <c r="G15" s="7" t="n">
        <v>59</v>
      </c>
      <c r="H15" s="7" t="n">
        <v>14</v>
      </c>
      <c r="I15" s="7" t="n">
        <f aca="false">IFERROR(ROUND(G15/F15,2),"—")</f>
        <v>0.92</v>
      </c>
    </row>
    <row r="16" customFormat="false" ht="15" hidden="false" customHeight="true" outlineLevel="0" collapsed="false">
      <c r="A16" s="9" t="s">
        <v>54</v>
      </c>
      <c r="B16" s="9" t="n">
        <v>57</v>
      </c>
      <c r="C16" s="9" t="n">
        <v>48</v>
      </c>
      <c r="D16" s="9" t="n">
        <v>16</v>
      </c>
      <c r="E16" s="9" t="n">
        <f aca="false">IFERROR(ROUND(C16/B16,2),"—")</f>
        <v>0.84</v>
      </c>
      <c r="F16" s="9" t="n">
        <v>57</v>
      </c>
      <c r="G16" s="9" t="n">
        <v>62</v>
      </c>
      <c r="H16" s="9" t="n">
        <v>14</v>
      </c>
      <c r="I16" s="9" t="n">
        <f aca="false">IFERROR(ROUND(G16/F16,2),"—")</f>
        <v>1.09</v>
      </c>
    </row>
    <row r="17" customFormat="false" ht="15" hidden="false" customHeight="true" outlineLevel="0" collapsed="false">
      <c r="A17" s="5" t="s">
        <v>55</v>
      </c>
      <c r="B17" s="6" t="n">
        <v>67</v>
      </c>
      <c r="C17" s="6" t="n">
        <v>62</v>
      </c>
      <c r="D17" s="6" t="n">
        <v>32</v>
      </c>
      <c r="E17" s="6" t="n">
        <f aca="false">IFERROR(ROUND(C17/B17,2),"—")</f>
        <v>0.93</v>
      </c>
      <c r="F17" s="7" t="n">
        <v>60</v>
      </c>
      <c r="G17" s="7" t="n">
        <v>66</v>
      </c>
      <c r="H17" s="7" t="n">
        <v>21</v>
      </c>
      <c r="I17" s="7" t="n">
        <f aca="false">IFERROR(ROUND(G17/F17,2),"—")</f>
        <v>1.1</v>
      </c>
    </row>
    <row r="18" customFormat="false" ht="15" hidden="false" customHeight="true" outlineLevel="0" collapsed="false">
      <c r="A18" s="9" t="s">
        <v>56</v>
      </c>
      <c r="B18" s="9" t="n">
        <v>59</v>
      </c>
      <c r="C18" s="9" t="n">
        <v>50</v>
      </c>
      <c r="D18" s="9" t="n">
        <v>28</v>
      </c>
      <c r="E18" s="9" t="n">
        <f aca="false">IFERROR(ROUND(C18/B18,2),"—")</f>
        <v>0.85</v>
      </c>
      <c r="F18" s="9" t="n">
        <v>61</v>
      </c>
      <c r="G18" s="9" t="n">
        <v>57</v>
      </c>
      <c r="H18" s="9" t="n">
        <v>17</v>
      </c>
      <c r="I18" s="9" t="n">
        <f aca="false">IFERROR(ROUND(G18/F18,2),"—")</f>
        <v>0.93</v>
      </c>
    </row>
    <row r="19" customFormat="false" ht="15" hidden="false" customHeight="true" outlineLevel="0" collapsed="false">
      <c r="A19" s="5" t="s">
        <v>57</v>
      </c>
      <c r="B19" s="6" t="n">
        <v>57</v>
      </c>
      <c r="C19" s="6" t="n">
        <v>57</v>
      </c>
      <c r="D19" s="6" t="n">
        <v>18</v>
      </c>
      <c r="E19" s="6" t="n">
        <f aca="false">IFERROR(ROUND(C19/B19,2),"—")</f>
        <v>1</v>
      </c>
      <c r="F19" s="7" t="n">
        <v>56</v>
      </c>
      <c r="G19" s="7" t="n">
        <v>56</v>
      </c>
      <c r="H19" s="7" t="n">
        <v>13</v>
      </c>
      <c r="I19" s="7" t="n">
        <f aca="false">IFERROR(ROUND(G19/F19,2),"—")</f>
        <v>1</v>
      </c>
    </row>
    <row r="20" customFormat="false" ht="15" hidden="false" customHeight="true" outlineLevel="0" collapsed="false">
      <c r="A20" s="9" t="s">
        <v>58</v>
      </c>
      <c r="B20" s="9" t="n">
        <v>64</v>
      </c>
      <c r="C20" s="9" t="n">
        <v>52</v>
      </c>
      <c r="D20" s="9" t="n">
        <v>21</v>
      </c>
      <c r="E20" s="9" t="n">
        <f aca="false">IFERROR(ROUND(C20/B20,2),"—")</f>
        <v>0.81</v>
      </c>
      <c r="F20" s="9" t="n">
        <v>55</v>
      </c>
      <c r="G20" s="9" t="n">
        <v>54</v>
      </c>
      <c r="H20" s="9" t="n">
        <v>11</v>
      </c>
      <c r="I20" s="9" t="n">
        <f aca="false">IFERROR(ROUND(G20/F20,2),"—")</f>
        <v>0.98</v>
      </c>
    </row>
    <row r="21" customFormat="false" ht="15" hidden="false" customHeight="true" outlineLevel="0" collapsed="false">
      <c r="A21" s="5" t="s">
        <v>59</v>
      </c>
      <c r="B21" s="6" t="n">
        <v>58</v>
      </c>
      <c r="C21" s="6" t="n">
        <v>54</v>
      </c>
      <c r="D21" s="6" t="n">
        <v>20</v>
      </c>
      <c r="E21" s="6" t="n">
        <f aca="false">IFERROR(ROUND(C21/B21,2),"—")</f>
        <v>0.93</v>
      </c>
      <c r="F21" s="7" t="n">
        <v>47</v>
      </c>
      <c r="G21" s="7" t="n">
        <v>31</v>
      </c>
      <c r="H21" s="7" t="n">
        <v>10</v>
      </c>
      <c r="I21" s="7" t="n">
        <f aca="false">IFERROR(ROUND(G21/F21,2),"—")</f>
        <v>0.66</v>
      </c>
    </row>
    <row r="22" customFormat="false" ht="15" hidden="false" customHeight="true" outlineLevel="0" collapsed="false">
      <c r="A22" s="9" t="s">
        <v>60</v>
      </c>
      <c r="B22" s="9" t="n">
        <v>44</v>
      </c>
      <c r="C22" s="9" t="n">
        <v>32</v>
      </c>
      <c r="D22" s="9" t="n">
        <v>25</v>
      </c>
      <c r="E22" s="9" t="n">
        <f aca="false">IFERROR(ROUND(C22/B22,2),"—")</f>
        <v>0.73</v>
      </c>
      <c r="F22" s="9" t="n">
        <v>51</v>
      </c>
      <c r="G22" s="9" t="n">
        <v>46</v>
      </c>
      <c r="H22" s="9" t="n">
        <v>5</v>
      </c>
      <c r="I22" s="9" t="n">
        <f aca="false">IFERROR(ROUND(G22/F22,2),"—")</f>
        <v>0.9</v>
      </c>
    </row>
    <row r="23" customFormat="false" ht="15" hidden="false" customHeight="true" outlineLevel="0" collapsed="false">
      <c r="A23" s="5" t="s">
        <v>61</v>
      </c>
      <c r="B23" s="6" t="n">
        <v>62</v>
      </c>
      <c r="C23" s="6" t="n">
        <v>45</v>
      </c>
      <c r="D23" s="6" t="n">
        <v>17</v>
      </c>
      <c r="E23" s="6" t="n">
        <f aca="false">IFERROR(ROUND(C23/B23,2),"—")</f>
        <v>0.73</v>
      </c>
      <c r="F23" s="7" t="n">
        <v>60</v>
      </c>
      <c r="G23" s="7" t="n">
        <v>48</v>
      </c>
      <c r="H23" s="7" t="n">
        <v>7</v>
      </c>
      <c r="I23" s="7" t="n">
        <f aca="false">IFERROR(ROUND(G23/F23,2),"—")</f>
        <v>0.8</v>
      </c>
    </row>
    <row r="24" customFormat="false" ht="15" hidden="false" customHeight="true" outlineLevel="0" collapsed="false">
      <c r="A24" s="9" t="s">
        <v>62</v>
      </c>
      <c r="B24" s="9" t="n">
        <v>46</v>
      </c>
      <c r="C24" s="9" t="n">
        <v>22</v>
      </c>
      <c r="D24" s="9" t="n">
        <v>15</v>
      </c>
      <c r="E24" s="9" t="n">
        <f aca="false">IFERROR(ROUND(C24/B24,2),"—")</f>
        <v>0.48</v>
      </c>
      <c r="F24" s="9" t="n">
        <v>49</v>
      </c>
      <c r="G24" s="9" t="n">
        <v>32</v>
      </c>
      <c r="H24" s="9" t="n">
        <v>4</v>
      </c>
      <c r="I24" s="9" t="n">
        <f aca="false">IFERROR(ROUND(G24/F24,2),"—")</f>
        <v>0.65</v>
      </c>
    </row>
    <row r="25" customFormat="false" ht="15" hidden="false" customHeight="true" outlineLevel="0" collapsed="false">
      <c r="A25" s="5" t="s">
        <v>63</v>
      </c>
      <c r="B25" s="6" t="n">
        <v>55</v>
      </c>
      <c r="C25" s="6" t="n">
        <v>40</v>
      </c>
      <c r="D25" s="6" t="n">
        <v>25</v>
      </c>
      <c r="E25" s="6" t="n">
        <f aca="false">IFERROR(ROUND(C25/B25,2),"—")</f>
        <v>0.73</v>
      </c>
      <c r="F25" s="7" t="n">
        <v>48</v>
      </c>
      <c r="G25" s="7" t="n">
        <v>24</v>
      </c>
      <c r="H25" s="7" t="n">
        <v>5</v>
      </c>
      <c r="I25" s="7" t="n">
        <f aca="false">IFERROR(ROUND(G25/F25,2),"—")</f>
        <v>0.5</v>
      </c>
    </row>
    <row r="26" customFormat="false" ht="15" hidden="false" customHeight="true" outlineLevel="0" collapsed="false">
      <c r="A26" s="9" t="s">
        <v>64</v>
      </c>
      <c r="B26" s="9" t="n">
        <v>39</v>
      </c>
      <c r="C26" s="9" t="n">
        <v>28</v>
      </c>
      <c r="D26" s="9" t="n">
        <v>17</v>
      </c>
      <c r="E26" s="9" t="n">
        <f aca="false">IFERROR(ROUND(C26/B26,2),"—")</f>
        <v>0.72</v>
      </c>
      <c r="F26" s="9" t="n">
        <v>61</v>
      </c>
      <c r="G26" s="9" t="n">
        <v>56</v>
      </c>
      <c r="H26" s="9" t="n">
        <v>16</v>
      </c>
      <c r="I26" s="9" t="n">
        <f aca="false">IFERROR(ROUND(G26/F26,2),"—")</f>
        <v>0.92</v>
      </c>
    </row>
    <row r="27" customFormat="false" ht="15" hidden="false" customHeight="true" outlineLevel="0" collapsed="false">
      <c r="A27" s="5" t="s">
        <v>65</v>
      </c>
      <c r="B27" s="6" t="n">
        <v>46</v>
      </c>
      <c r="C27" s="6" t="n">
        <v>36</v>
      </c>
      <c r="D27" s="6" t="n">
        <v>14</v>
      </c>
      <c r="E27" s="6" t="n">
        <f aca="false">IFERROR(ROUND(C27/B27,2),"—")</f>
        <v>0.78</v>
      </c>
      <c r="F27" s="7" t="n">
        <v>50</v>
      </c>
      <c r="G27" s="7" t="n">
        <v>43</v>
      </c>
      <c r="H27" s="7" t="n">
        <v>5</v>
      </c>
      <c r="I27" s="7" t="n">
        <f aca="false">IFERROR(ROUND(G27/F27,2),"—")</f>
        <v>0.86</v>
      </c>
    </row>
    <row r="28" customFormat="false" ht="15" hidden="false" customHeight="true" outlineLevel="0" collapsed="false">
      <c r="A28" s="9" t="s">
        <v>66</v>
      </c>
      <c r="B28" s="9" t="n">
        <v>49</v>
      </c>
      <c r="C28" s="9" t="n">
        <v>45</v>
      </c>
      <c r="D28" s="9" t="n">
        <v>30</v>
      </c>
      <c r="E28" s="9" t="n">
        <f aca="false">IFERROR(ROUND(C28/B28,2),"—")</f>
        <v>0.92</v>
      </c>
      <c r="F28" s="9" t="n">
        <v>49</v>
      </c>
      <c r="G28" s="9" t="n">
        <v>38</v>
      </c>
      <c r="H28" s="9" t="n">
        <v>4</v>
      </c>
      <c r="I28" s="9" t="n">
        <f aca="false">IFERROR(ROUND(G28/F28,2),"—")</f>
        <v>0.78</v>
      </c>
    </row>
    <row r="29" customFormat="false" ht="15" hidden="false" customHeight="true" outlineLevel="0" collapsed="false">
      <c r="A29" s="5" t="s">
        <v>67</v>
      </c>
      <c r="B29" s="6" t="n">
        <v>4</v>
      </c>
      <c r="C29" s="6" t="n">
        <v>3</v>
      </c>
      <c r="D29" s="6" t="n">
        <v>2</v>
      </c>
      <c r="E29" s="6" t="n">
        <f aca="false">IFERROR(ROUND(C29/B29,2),"—")</f>
        <v>0.75</v>
      </c>
      <c r="F29" s="7" t="n">
        <v>2</v>
      </c>
      <c r="G29" s="7" t="n">
        <v>1</v>
      </c>
      <c r="H29" s="7" t="n">
        <v>0</v>
      </c>
      <c r="I29" s="7" t="n">
        <f aca="false">IFERROR(ROUND(G29/F29,2),"—")</f>
        <v>0.5</v>
      </c>
    </row>
    <row r="30" customFormat="false" ht="15" hidden="false" customHeight="true" outlineLevel="0" collapsed="false">
      <c r="A30" s="16" t="s">
        <v>68</v>
      </c>
      <c r="B30" s="16" t="n">
        <f aca="false">SUMPRODUCT(IFERROR(B5:B29*1,0))</f>
        <v>1168</v>
      </c>
      <c r="C30" s="16" t="n">
        <f aca="false">SUMPRODUCT(IFERROR(C5:C29*1,0))</f>
        <v>922</v>
      </c>
      <c r="D30" s="16" t="n">
        <f aca="false">SUMPRODUCT(IFERROR(D5:D29*1,0))</f>
        <v>424</v>
      </c>
      <c r="E30" s="16" t="n">
        <f aca="false">ROUND(C30/B30,2)</f>
        <v>0.79</v>
      </c>
      <c r="F30" s="16" t="n">
        <f aca="false">SUMPRODUCT(IFERROR(F5:F29*1,0))</f>
        <v>1332</v>
      </c>
      <c r="G30" s="16" t="n">
        <f aca="false">SUMPRODUCT(IFERROR(G5:G29*1,0))</f>
        <v>977</v>
      </c>
      <c r="H30" s="16" t="n">
        <f aca="false">SUMPRODUCT(IFERROR(H5:H29*1,0))</f>
        <v>260</v>
      </c>
      <c r="I30" s="16" t="n">
        <f aca="false">ROUND(G30/F30,2)</f>
        <v>0.73</v>
      </c>
    </row>
    <row r="32" customFormat="false" ht="15" hidden="false" customHeight="true" outlineLevel="0" collapsed="false">
      <c r="A32" s="15" t="s">
        <v>69</v>
      </c>
      <c r="B32" s="15"/>
      <c r="C32" s="15"/>
      <c r="D32" s="15"/>
      <c r="E32" s="15"/>
      <c r="F32" s="15"/>
      <c r="G32" s="15"/>
      <c r="H32" s="15"/>
      <c r="I32" s="15"/>
    </row>
  </sheetData>
  <mergeCells count="1">
    <mergeCell ref="A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15"/>
    <col collapsed="false" customWidth="true" hidden="false" outlineLevel="0" max="4" min="4" style="1" width="26"/>
  </cols>
  <sheetData>
    <row r="1" customFormat="false" ht="17.25" hidden="false" customHeight="true" outlineLevel="0" collapsed="false">
      <c r="A1" s="2" t="s">
        <v>70</v>
      </c>
    </row>
    <row r="2" customFormat="false" ht="15" hidden="false" customHeight="true" outlineLevel="0" collapsed="false">
      <c r="A2" s="3" t="s">
        <v>71</v>
      </c>
    </row>
    <row r="4" customFormat="false" ht="15" hidden="false" customHeight="true" outlineLevel="0" collapsed="false">
      <c r="A4" s="4" t="s">
        <v>72</v>
      </c>
      <c r="B4" s="4" t="s">
        <v>35</v>
      </c>
      <c r="C4" s="4" t="s">
        <v>39</v>
      </c>
      <c r="D4" s="4" t="s">
        <v>5</v>
      </c>
    </row>
    <row r="5" customFormat="false" ht="15" hidden="false" customHeight="true" outlineLevel="0" collapsed="false">
      <c r="A5" s="5" t="n">
        <v>2002</v>
      </c>
      <c r="B5" s="6" t="n">
        <v>0</v>
      </c>
      <c r="C5" s="7" t="n">
        <v>5</v>
      </c>
      <c r="D5" s="8" t="n">
        <f aca="false">B5-C5</f>
        <v>-5</v>
      </c>
    </row>
    <row r="6" customFormat="false" ht="15" hidden="false" customHeight="true" outlineLevel="0" collapsed="false">
      <c r="A6" s="9" t="n">
        <v>2003</v>
      </c>
      <c r="B6" s="9" t="s">
        <v>43</v>
      </c>
      <c r="C6" s="9" t="n">
        <v>1</v>
      </c>
      <c r="D6" s="9" t="s">
        <v>43</v>
      </c>
    </row>
    <row r="7" customFormat="false" ht="15" hidden="false" customHeight="true" outlineLevel="0" collapsed="false">
      <c r="A7" s="5" t="n">
        <v>2004</v>
      </c>
      <c r="B7" s="6" t="n">
        <v>0</v>
      </c>
      <c r="C7" s="7" t="n">
        <v>13</v>
      </c>
      <c r="D7" s="8" t="n">
        <f aca="false">B7-C7</f>
        <v>-13</v>
      </c>
    </row>
    <row r="8" customFormat="false" ht="15" hidden="false" customHeight="true" outlineLevel="0" collapsed="false">
      <c r="A8" s="9" t="n">
        <v>2005</v>
      </c>
      <c r="B8" s="9" t="n">
        <v>3</v>
      </c>
      <c r="C8" s="9" t="n">
        <v>15</v>
      </c>
      <c r="D8" s="12" t="n">
        <f aca="false">B8-C8</f>
        <v>-12</v>
      </c>
    </row>
    <row r="9" customFormat="false" ht="15" hidden="false" customHeight="true" outlineLevel="0" collapsed="false">
      <c r="A9" s="5" t="n">
        <v>2006</v>
      </c>
      <c r="B9" s="6" t="n">
        <v>12</v>
      </c>
      <c r="C9" s="7" t="n">
        <v>25</v>
      </c>
      <c r="D9" s="8" t="n">
        <f aca="false">B9-C9</f>
        <v>-13</v>
      </c>
    </row>
    <row r="10" customFormat="false" ht="15" hidden="false" customHeight="true" outlineLevel="0" collapsed="false">
      <c r="A10" s="9" t="n">
        <v>2007</v>
      </c>
      <c r="B10" s="9" t="n">
        <v>31</v>
      </c>
      <c r="C10" s="9" t="n">
        <v>34</v>
      </c>
      <c r="D10" s="12" t="n">
        <f aca="false">B10-C10</f>
        <v>-3</v>
      </c>
    </row>
    <row r="11" customFormat="false" ht="15" hidden="false" customHeight="true" outlineLevel="0" collapsed="false">
      <c r="A11" s="5" t="n">
        <v>2008</v>
      </c>
      <c r="B11" s="6" t="n">
        <v>22</v>
      </c>
      <c r="C11" s="7" t="n">
        <v>35</v>
      </c>
      <c r="D11" s="8" t="n">
        <f aca="false">B11-C11</f>
        <v>-13</v>
      </c>
    </row>
    <row r="12" customFormat="false" ht="15" hidden="false" customHeight="true" outlineLevel="0" collapsed="false">
      <c r="A12" s="9" t="n">
        <v>2009</v>
      </c>
      <c r="B12" s="9" t="n">
        <v>41</v>
      </c>
      <c r="C12" s="9" t="n">
        <v>30</v>
      </c>
      <c r="D12" s="12" t="n">
        <f aca="false">B12-C12</f>
        <v>11</v>
      </c>
    </row>
    <row r="13" customFormat="false" ht="15" hidden="false" customHeight="true" outlineLevel="0" collapsed="false">
      <c r="A13" s="5" t="n">
        <v>2010</v>
      </c>
      <c r="B13" s="6" t="n">
        <v>60</v>
      </c>
      <c r="C13" s="7" t="n">
        <v>48</v>
      </c>
      <c r="D13" s="8" t="n">
        <f aca="false">B13-C13</f>
        <v>12</v>
      </c>
    </row>
    <row r="14" customFormat="false" ht="15" hidden="false" customHeight="true" outlineLevel="0" collapsed="false">
      <c r="A14" s="9" t="n">
        <v>2011</v>
      </c>
      <c r="B14" s="9" t="n">
        <v>59</v>
      </c>
      <c r="C14" s="9" t="n">
        <v>60</v>
      </c>
      <c r="D14" s="12" t="n">
        <f aca="false">B14-C14</f>
        <v>-1</v>
      </c>
    </row>
    <row r="15" customFormat="false" ht="15" hidden="false" customHeight="true" outlineLevel="0" collapsed="false">
      <c r="A15" s="5" t="n">
        <v>2012</v>
      </c>
      <c r="B15" s="6" t="n">
        <v>91</v>
      </c>
      <c r="C15" s="7" t="n">
        <v>63</v>
      </c>
      <c r="D15" s="8" t="n">
        <f aca="false">B15-C15</f>
        <v>28</v>
      </c>
    </row>
    <row r="16" customFormat="false" ht="15" hidden="false" customHeight="true" outlineLevel="0" collapsed="false">
      <c r="A16" s="9" t="n">
        <v>2013</v>
      </c>
      <c r="B16" s="9" t="n">
        <v>45</v>
      </c>
      <c r="C16" s="9" t="n">
        <v>69</v>
      </c>
      <c r="D16" s="12" t="n">
        <f aca="false">B16-C16</f>
        <v>-24</v>
      </c>
    </row>
    <row r="17" customFormat="false" ht="15" hidden="false" customHeight="true" outlineLevel="0" collapsed="false">
      <c r="A17" s="5" t="n">
        <v>2014</v>
      </c>
      <c r="B17" s="6" t="n">
        <v>58</v>
      </c>
      <c r="C17" s="7" t="n">
        <v>61</v>
      </c>
      <c r="D17" s="8" t="n">
        <f aca="false">B17-C17</f>
        <v>-3</v>
      </c>
    </row>
    <row r="18" customFormat="false" ht="15" hidden="false" customHeight="true" outlineLevel="0" collapsed="false">
      <c r="A18" s="9" t="n">
        <v>2015</v>
      </c>
      <c r="B18" s="9" t="n">
        <v>52</v>
      </c>
      <c r="C18" s="9" t="n">
        <v>57</v>
      </c>
      <c r="D18" s="12" t="n">
        <f aca="false">B18-C18</f>
        <v>-5</v>
      </c>
    </row>
    <row r="19" customFormat="false" ht="15" hidden="false" customHeight="true" outlineLevel="0" collapsed="false">
      <c r="A19" s="5" t="n">
        <v>2016</v>
      </c>
      <c r="B19" s="6" t="n">
        <v>59</v>
      </c>
      <c r="C19" s="7" t="n">
        <v>55</v>
      </c>
      <c r="D19" s="8" t="n">
        <f aca="false">B19-C19</f>
        <v>4</v>
      </c>
    </row>
    <row r="20" customFormat="false" ht="15" hidden="false" customHeight="true" outlineLevel="0" collapsed="false">
      <c r="A20" s="9" t="n">
        <v>2017</v>
      </c>
      <c r="B20" s="9" t="n">
        <v>54</v>
      </c>
      <c r="C20" s="9" t="n">
        <v>53</v>
      </c>
      <c r="D20" s="12" t="n">
        <f aca="false">B20-C20</f>
        <v>1</v>
      </c>
    </row>
    <row r="21" customFormat="false" ht="15" hidden="false" customHeight="true" outlineLevel="0" collapsed="false">
      <c r="A21" s="5" t="n">
        <v>2018</v>
      </c>
      <c r="B21" s="6" t="n">
        <v>51</v>
      </c>
      <c r="C21" s="7" t="n">
        <v>49</v>
      </c>
      <c r="D21" s="8" t="n">
        <f aca="false">B21-C21</f>
        <v>2</v>
      </c>
    </row>
    <row r="22" customFormat="false" ht="15" hidden="false" customHeight="true" outlineLevel="0" collapsed="false">
      <c r="A22" s="9" t="n">
        <v>2019</v>
      </c>
      <c r="B22" s="9" t="n">
        <v>50</v>
      </c>
      <c r="C22" s="9" t="n">
        <v>39</v>
      </c>
      <c r="D22" s="12" t="n">
        <f aca="false">B22-C22</f>
        <v>11</v>
      </c>
    </row>
    <row r="23" customFormat="false" ht="15" hidden="false" customHeight="true" outlineLevel="0" collapsed="false">
      <c r="A23" s="5" t="n">
        <v>2020</v>
      </c>
      <c r="B23" s="6" t="n">
        <v>27</v>
      </c>
      <c r="C23" s="7" t="n">
        <v>44</v>
      </c>
      <c r="D23" s="8" t="n">
        <f aca="false">B23-C23</f>
        <v>-17</v>
      </c>
    </row>
    <row r="24" customFormat="false" ht="15" hidden="false" customHeight="true" outlineLevel="0" collapsed="false">
      <c r="A24" s="9" t="n">
        <v>2021</v>
      </c>
      <c r="B24" s="9" t="n">
        <v>43</v>
      </c>
      <c r="C24" s="9" t="n">
        <v>47</v>
      </c>
      <c r="D24" s="12" t="n">
        <f aca="false">B24-C24</f>
        <v>-4</v>
      </c>
    </row>
    <row r="25" customFormat="false" ht="15" hidden="false" customHeight="true" outlineLevel="0" collapsed="false">
      <c r="A25" s="5" t="n">
        <v>2022</v>
      </c>
      <c r="B25" s="6" t="n">
        <v>35</v>
      </c>
      <c r="C25" s="7" t="n">
        <v>16</v>
      </c>
      <c r="D25" s="8" t="n">
        <f aca="false">B25-C25</f>
        <v>19</v>
      </c>
    </row>
    <row r="26" customFormat="false" ht="15" hidden="false" customHeight="true" outlineLevel="0" collapsed="false">
      <c r="A26" s="9" t="n">
        <v>2023</v>
      </c>
      <c r="B26" s="9" t="n">
        <v>28</v>
      </c>
      <c r="C26" s="9" t="n">
        <v>54</v>
      </c>
      <c r="D26" s="12" t="n">
        <f aca="false">B26-C26</f>
        <v>-26</v>
      </c>
    </row>
    <row r="27" customFormat="false" ht="15" hidden="false" customHeight="true" outlineLevel="0" collapsed="false">
      <c r="A27" s="5" t="n">
        <v>2024</v>
      </c>
      <c r="B27" s="6" t="n">
        <v>29</v>
      </c>
      <c r="C27" s="7" t="n">
        <v>43</v>
      </c>
      <c r="D27" s="8" t="n">
        <f aca="false">B27-C27</f>
        <v>-14</v>
      </c>
    </row>
    <row r="28" customFormat="false" ht="15" hidden="false" customHeight="true" outlineLevel="0" collapsed="false">
      <c r="A28" s="9" t="n">
        <v>2025</v>
      </c>
      <c r="B28" s="9" t="n">
        <v>46</v>
      </c>
      <c r="C28" s="9" t="n">
        <v>41</v>
      </c>
      <c r="D28" s="12" t="n">
        <f aca="false">B28-C28</f>
        <v>5</v>
      </c>
    </row>
    <row r="29" customFormat="false" ht="15" hidden="false" customHeight="true" outlineLevel="0" collapsed="false">
      <c r="A29" s="5" t="n">
        <v>2026</v>
      </c>
      <c r="B29" s="6" t="n">
        <v>26</v>
      </c>
      <c r="C29" s="7" t="n">
        <v>20</v>
      </c>
      <c r="D29" s="8" t="n">
        <f aca="false">B29-C29</f>
        <v>6</v>
      </c>
    </row>
    <row r="31" customFormat="false" ht="15" hidden="false" customHeight="true" outlineLevel="0" collapsed="false">
      <c r="A31" s="15" t="s">
        <v>73</v>
      </c>
      <c r="B31" s="15"/>
      <c r="C31" s="15"/>
      <c r="D31" s="15"/>
    </row>
  </sheetData>
  <mergeCells count="1">
    <mergeCell ref="A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6"/>
    <col collapsed="false" customWidth="true" hidden="false" outlineLevel="0" max="5" min="4" style="1" width="17"/>
  </cols>
  <sheetData>
    <row r="1" customFormat="false" ht="17.25" hidden="false" customHeight="true" outlineLevel="0" collapsed="false">
      <c r="A1" s="2" t="s">
        <v>74</v>
      </c>
    </row>
    <row r="2" customFormat="false" ht="15" hidden="false" customHeight="true" outlineLevel="0" collapsed="false">
      <c r="A2" s="3" t="s">
        <v>75</v>
      </c>
    </row>
    <row r="4" customFormat="false" ht="15" hidden="false" customHeight="true" outlineLevel="0" collapsed="false">
      <c r="A4" s="4" t="s">
        <v>76</v>
      </c>
      <c r="B4" s="4" t="s">
        <v>77</v>
      </c>
      <c r="C4" s="4" t="s">
        <v>78</v>
      </c>
      <c r="D4" s="4" t="s">
        <v>79</v>
      </c>
      <c r="E4" s="4" t="s">
        <v>80</v>
      </c>
    </row>
    <row r="5" customFormat="false" ht="15" hidden="false" customHeight="true" outlineLevel="0" collapsed="false">
      <c r="A5" s="5" t="n">
        <v>17</v>
      </c>
      <c r="B5" s="6" t="n">
        <v>1</v>
      </c>
      <c r="C5" s="6" t="n">
        <f aca="false">SUMPRODUCT((B5:B5&lt;&gt;"—")*(B5:B5))</f>
        <v>1</v>
      </c>
      <c r="D5" s="7" t="n">
        <v>5</v>
      </c>
      <c r="E5" s="7" t="n">
        <f aca="false">SUMPRODUCT((D5:D5&lt;&gt;"—")*(D5:D5))</f>
        <v>5</v>
      </c>
    </row>
    <row r="6" customFormat="false" ht="15" hidden="false" customHeight="true" outlineLevel="0" collapsed="false">
      <c r="A6" s="9" t="n">
        <v>18</v>
      </c>
      <c r="B6" s="9" t="n">
        <v>10</v>
      </c>
      <c r="C6" s="9" t="n">
        <f aca="false">SUMPRODUCT((B5:B6&lt;&gt;"—")*(B5:B6))</f>
        <v>11</v>
      </c>
      <c r="D6" s="9" t="n">
        <v>1</v>
      </c>
      <c r="E6" s="9" t="n">
        <f aca="false">SUMPRODUCT((D5:D6&lt;&gt;"—")*(D5:D6))</f>
        <v>6</v>
      </c>
    </row>
    <row r="7" customFormat="false" ht="15" hidden="false" customHeight="true" outlineLevel="0" collapsed="false">
      <c r="A7" s="5" t="n">
        <v>19</v>
      </c>
      <c r="B7" s="6" t="n">
        <v>19</v>
      </c>
      <c r="C7" s="6" t="n">
        <f aca="false">SUMPRODUCT((B5:B7&lt;&gt;"—")*(B5:B7))</f>
        <v>30</v>
      </c>
      <c r="D7" s="7" t="n">
        <v>17</v>
      </c>
      <c r="E7" s="7" t="n">
        <f aca="false">SUMPRODUCT((D5:D7&lt;&gt;"—")*(D5:D7))</f>
        <v>23</v>
      </c>
    </row>
    <row r="8" customFormat="false" ht="15" hidden="false" customHeight="true" outlineLevel="0" collapsed="false">
      <c r="A8" s="9" t="n">
        <v>20</v>
      </c>
      <c r="B8" s="9" t="n">
        <v>21</v>
      </c>
      <c r="C8" s="9" t="n">
        <f aca="false">SUMPRODUCT((B5:B8&lt;&gt;"—")*(B5:B8))</f>
        <v>51</v>
      </c>
      <c r="D8" s="9" t="n">
        <v>13</v>
      </c>
      <c r="E8" s="9" t="n">
        <f aca="false">SUMPRODUCT((D5:D8&lt;&gt;"—")*(D5:D8))</f>
        <v>36</v>
      </c>
    </row>
    <row r="9" customFormat="false" ht="15" hidden="false" customHeight="true" outlineLevel="0" collapsed="false">
      <c r="A9" s="5" t="n">
        <v>21</v>
      </c>
      <c r="B9" s="6" t="n">
        <v>41</v>
      </c>
      <c r="C9" s="6" t="n">
        <f aca="false">SUMPRODUCT((B5:B9&lt;&gt;"—")*(B5:B9))</f>
        <v>92</v>
      </c>
      <c r="D9" s="7" t="n">
        <v>26</v>
      </c>
      <c r="E9" s="7" t="n">
        <f aca="false">SUMPRODUCT((D5:D9&lt;&gt;"—")*(D5:D9))</f>
        <v>62</v>
      </c>
    </row>
    <row r="10" customFormat="false" ht="15" hidden="false" customHeight="true" outlineLevel="0" collapsed="false">
      <c r="A10" s="9" t="n">
        <v>22</v>
      </c>
      <c r="B10" s="9" t="n">
        <v>48</v>
      </c>
      <c r="C10" s="9" t="n">
        <f aca="false">SUMPRODUCT((B5:B10&lt;&gt;"—")*(B5:B10))</f>
        <v>140</v>
      </c>
      <c r="D10" s="9" t="n">
        <v>40</v>
      </c>
      <c r="E10" s="9" t="n">
        <f aca="false">SUMPRODUCT((D5:D10&lt;&gt;"—")*(D5:D10))</f>
        <v>102</v>
      </c>
    </row>
    <row r="11" customFormat="false" ht="15" hidden="false" customHeight="true" outlineLevel="0" collapsed="false">
      <c r="A11" s="5" t="n">
        <v>23</v>
      </c>
      <c r="B11" s="6" t="n">
        <v>57</v>
      </c>
      <c r="C11" s="6" t="n">
        <f aca="false">SUMPRODUCT((B5:B11&lt;&gt;"—")*(B5:B11))</f>
        <v>197</v>
      </c>
      <c r="D11" s="7" t="n">
        <v>30</v>
      </c>
      <c r="E11" s="7" t="n">
        <f aca="false">SUMPRODUCT((D5:D11&lt;&gt;"—")*(D5:D11))</f>
        <v>132</v>
      </c>
    </row>
    <row r="12" customFormat="false" ht="15" hidden="false" customHeight="true" outlineLevel="0" collapsed="false">
      <c r="A12" s="9" t="n">
        <v>24</v>
      </c>
      <c r="B12" s="9" t="n">
        <v>82</v>
      </c>
      <c r="C12" s="9" t="n">
        <f aca="false">SUMPRODUCT((B5:B12&lt;&gt;"—")*(B5:B12))</f>
        <v>279</v>
      </c>
      <c r="D12" s="9" t="n">
        <v>28</v>
      </c>
      <c r="E12" s="9" t="n">
        <f aca="false">SUMPRODUCT((D5:D12&lt;&gt;"—")*(D5:D12))</f>
        <v>160</v>
      </c>
    </row>
    <row r="13" customFormat="false" ht="15" hidden="false" customHeight="true" outlineLevel="0" collapsed="false">
      <c r="A13" s="5" t="n">
        <v>25</v>
      </c>
      <c r="B13" s="6" t="n">
        <v>69</v>
      </c>
      <c r="C13" s="6" t="n">
        <f aca="false">SUMPRODUCT((B5:B13&lt;&gt;"—")*(B5:B13))</f>
        <v>348</v>
      </c>
      <c r="D13" s="7" t="n">
        <v>53</v>
      </c>
      <c r="E13" s="7" t="n">
        <f aca="false">SUMPRODUCT((D5:D13&lt;&gt;"—")*(D5:D13))</f>
        <v>213</v>
      </c>
    </row>
    <row r="14" customFormat="false" ht="15" hidden="false" customHeight="true" outlineLevel="0" collapsed="false">
      <c r="A14" s="9" t="n">
        <v>26</v>
      </c>
      <c r="B14" s="9" t="n">
        <v>46</v>
      </c>
      <c r="C14" s="9" t="n">
        <f aca="false">SUMPRODUCT((B5:B14&lt;&gt;"—")*(B5:B14))</f>
        <v>394</v>
      </c>
      <c r="D14" s="9" t="n">
        <v>59</v>
      </c>
      <c r="E14" s="9" t="n">
        <f aca="false">SUMPRODUCT((D5:D14&lt;&gt;"—")*(D5:D14))</f>
        <v>272</v>
      </c>
    </row>
    <row r="15" customFormat="false" ht="15" hidden="false" customHeight="true" outlineLevel="0" collapsed="false">
      <c r="A15" s="5" t="n">
        <v>27</v>
      </c>
      <c r="B15" s="6" t="n">
        <v>64</v>
      </c>
      <c r="C15" s="6" t="n">
        <f aca="false">SUMPRODUCT((B5:B15&lt;&gt;"—")*(B5:B15))</f>
        <v>458</v>
      </c>
      <c r="D15" s="7" t="n">
        <v>68</v>
      </c>
      <c r="E15" s="7" t="n">
        <f aca="false">SUMPRODUCT((D5:D15&lt;&gt;"—")*(D5:D15))</f>
        <v>340</v>
      </c>
    </row>
    <row r="16" customFormat="false" ht="15" hidden="false" customHeight="true" outlineLevel="0" collapsed="false">
      <c r="A16" s="9" t="n">
        <v>28</v>
      </c>
      <c r="B16" s="9" t="n">
        <v>50</v>
      </c>
      <c r="C16" s="9" t="n">
        <f aca="false">SUMPRODUCT((B5:B16&lt;&gt;"—")*(B5:B16))</f>
        <v>508</v>
      </c>
      <c r="D16" s="9" t="n">
        <v>63</v>
      </c>
      <c r="E16" s="9" t="n">
        <f aca="false">SUMPRODUCT((D5:D16&lt;&gt;"—")*(D5:D16))</f>
        <v>403</v>
      </c>
    </row>
    <row r="17" customFormat="false" ht="15" hidden="false" customHeight="true" outlineLevel="0" collapsed="false">
      <c r="A17" s="5" t="n">
        <v>29</v>
      </c>
      <c r="B17" s="6" t="n">
        <v>57</v>
      </c>
      <c r="C17" s="6" t="n">
        <f aca="false">SUMPRODUCT((B5:B17&lt;&gt;"—")*(B5:B17))</f>
        <v>565</v>
      </c>
      <c r="D17" s="7" t="n">
        <v>60</v>
      </c>
      <c r="E17" s="7" t="n">
        <f aca="false">SUMPRODUCT((D5:D17&lt;&gt;"—")*(D5:D17))</f>
        <v>463</v>
      </c>
    </row>
    <row r="18" customFormat="false" ht="15" hidden="false" customHeight="true" outlineLevel="0" collapsed="false">
      <c r="A18" s="9" t="n">
        <v>30</v>
      </c>
      <c r="B18" s="9" t="n">
        <v>51</v>
      </c>
      <c r="C18" s="9" t="n">
        <f aca="false">SUMPRODUCT((B5:B18&lt;&gt;"—")*(B5:B18))</f>
        <v>616</v>
      </c>
      <c r="D18" s="9" t="n">
        <v>58</v>
      </c>
      <c r="E18" s="9" t="n">
        <f aca="false">SUMPRODUCT((D5:D18&lt;&gt;"—")*(D5:D18))</f>
        <v>521</v>
      </c>
    </row>
    <row r="19" customFormat="false" ht="15" hidden="false" customHeight="true" outlineLevel="0" collapsed="false">
      <c r="A19" s="5" t="n">
        <v>31</v>
      </c>
      <c r="B19" s="6" t="n">
        <v>55</v>
      </c>
      <c r="C19" s="6" t="n">
        <f aca="false">SUMPRODUCT((B5:B19&lt;&gt;"—")*(B5:B19))</f>
        <v>671</v>
      </c>
      <c r="D19" s="7" t="n">
        <v>54</v>
      </c>
      <c r="E19" s="7" t="n">
        <f aca="false">SUMPRODUCT((D5:D19&lt;&gt;"—")*(D5:D19))</f>
        <v>575</v>
      </c>
    </row>
    <row r="20" customFormat="false" ht="15" hidden="false" customHeight="true" outlineLevel="0" collapsed="false">
      <c r="A20" s="9" t="n">
        <v>32</v>
      </c>
      <c r="B20" s="9" t="n">
        <v>28</v>
      </c>
      <c r="C20" s="9" t="n">
        <f aca="false">SUMPRODUCT((B5:B20&lt;&gt;"—")*(B5:B20))</f>
        <v>699</v>
      </c>
      <c r="D20" s="9" t="n">
        <v>53</v>
      </c>
      <c r="E20" s="9" t="n">
        <f aca="false">SUMPRODUCT((D5:D20&lt;&gt;"—")*(D5:D20))</f>
        <v>628</v>
      </c>
    </row>
    <row r="21" customFormat="false" ht="15" hidden="false" customHeight="true" outlineLevel="0" collapsed="false">
      <c r="A21" s="5" t="n">
        <v>33</v>
      </c>
      <c r="B21" s="6" t="n">
        <v>46</v>
      </c>
      <c r="C21" s="6" t="n">
        <f aca="false">SUMPRODUCT((B5:B21&lt;&gt;"—")*(B5:B21))</f>
        <v>745</v>
      </c>
      <c r="D21" s="7" t="n">
        <v>49</v>
      </c>
      <c r="E21" s="7" t="n">
        <f aca="false">SUMPRODUCT((D5:D21&lt;&gt;"—")*(D5:D21))</f>
        <v>677</v>
      </c>
    </row>
    <row r="22" customFormat="false" ht="15" hidden="false" customHeight="true" outlineLevel="0" collapsed="false">
      <c r="A22" s="9" t="n">
        <v>34</v>
      </c>
      <c r="B22" s="9" t="n">
        <v>24</v>
      </c>
      <c r="C22" s="9" t="n">
        <f aca="false">SUMPRODUCT((B5:B22&lt;&gt;"—")*(B5:B22))</f>
        <v>769</v>
      </c>
      <c r="D22" s="9" t="n">
        <v>45</v>
      </c>
      <c r="E22" s="9" t="n">
        <f aca="false">SUMPRODUCT((D5:D22&lt;&gt;"—")*(D5:D22))</f>
        <v>722</v>
      </c>
    </row>
    <row r="23" customFormat="false" ht="15" hidden="false" customHeight="true" outlineLevel="0" collapsed="false">
      <c r="A23" s="5" t="n">
        <v>35</v>
      </c>
      <c r="B23" s="6" t="n">
        <v>38</v>
      </c>
      <c r="C23" s="6" t="n">
        <f aca="false">SUMPRODUCT((B5:B23&lt;&gt;"—")*(B5:B23))</f>
        <v>807</v>
      </c>
      <c r="D23" s="7" t="n">
        <v>40</v>
      </c>
      <c r="E23" s="7" t="n">
        <f aca="false">SUMPRODUCT((D5:D23&lt;&gt;"—")*(D5:D23))</f>
        <v>762</v>
      </c>
    </row>
    <row r="24" customFormat="false" ht="15" hidden="false" customHeight="true" outlineLevel="0" collapsed="false">
      <c r="A24" s="9" t="n">
        <v>36</v>
      </c>
      <c r="B24" s="9" t="n">
        <v>30</v>
      </c>
      <c r="C24" s="9" t="n">
        <f aca="false">SUMPRODUCT((B5:B24&lt;&gt;"—")*(B5:B24))</f>
        <v>837</v>
      </c>
      <c r="D24" s="9" t="n">
        <v>41</v>
      </c>
      <c r="E24" s="9" t="n">
        <f aca="false">SUMPRODUCT((D5:D24&lt;&gt;"—")*(D5:D24))</f>
        <v>803</v>
      </c>
    </row>
    <row r="25" customFormat="false" ht="15" hidden="false" customHeight="true" outlineLevel="0" collapsed="false">
      <c r="A25" s="5" t="n">
        <v>37</v>
      </c>
      <c r="B25" s="6" t="n">
        <v>29</v>
      </c>
      <c r="C25" s="6" t="n">
        <f aca="false">SUMPRODUCT((B5:B25&lt;&gt;"—")*(B5:B25))</f>
        <v>866</v>
      </c>
      <c r="D25" s="7" t="n">
        <v>17</v>
      </c>
      <c r="E25" s="7" t="n">
        <f aca="false">SUMPRODUCT((D5:D25&lt;&gt;"—")*(D5:D25))</f>
        <v>820</v>
      </c>
    </row>
    <row r="26" customFormat="false" ht="15" hidden="false" customHeight="true" outlineLevel="0" collapsed="false">
      <c r="A26" s="9" t="n">
        <v>38</v>
      </c>
      <c r="B26" s="9" t="n">
        <v>50</v>
      </c>
      <c r="C26" s="9" t="n">
        <f aca="false">SUMPRODUCT((B5:B26&lt;&gt;"—")*(B5:B26))</f>
        <v>916</v>
      </c>
      <c r="D26" s="9" t="n">
        <v>53</v>
      </c>
      <c r="E26" s="9" t="n">
        <f aca="false">SUMPRODUCT((D5:D26&lt;&gt;"—")*(D5:D26))</f>
        <v>873</v>
      </c>
    </row>
    <row r="27" customFormat="false" ht="15" hidden="false" customHeight="true" outlineLevel="0" collapsed="false">
      <c r="A27" s="5" t="n">
        <v>39</v>
      </c>
      <c r="B27" s="6" t="n">
        <v>3</v>
      </c>
      <c r="C27" s="6" t="n">
        <f aca="false">SUMPRODUCT((B5:B27&lt;&gt;"—")*(B5:B27))</f>
        <v>919</v>
      </c>
      <c r="D27" s="7" t="n">
        <v>50</v>
      </c>
      <c r="E27" s="7" t="n">
        <f aca="false">SUMPRODUCT((D5:D27&lt;&gt;"—")*(D5:D27))</f>
        <v>923</v>
      </c>
    </row>
    <row r="28" customFormat="false" ht="15" hidden="false" customHeight="true" outlineLevel="0" collapsed="false">
      <c r="A28" s="9" t="n">
        <v>40</v>
      </c>
      <c r="B28" s="9" t="s">
        <v>43</v>
      </c>
      <c r="C28" s="9" t="s">
        <v>43</v>
      </c>
      <c r="D28" s="9" t="n">
        <v>38</v>
      </c>
      <c r="E28" s="9" t="n">
        <f aca="false">SUMPRODUCT((D5:D28&lt;&gt;"—")*(D5:D28))</f>
        <v>961</v>
      </c>
    </row>
    <row r="29" customFormat="false" ht="15" hidden="false" customHeight="true" outlineLevel="0" collapsed="false">
      <c r="A29" s="5" t="n">
        <v>41</v>
      </c>
      <c r="B29" s="6" t="s">
        <v>43</v>
      </c>
      <c r="C29" s="6" t="s">
        <v>43</v>
      </c>
      <c r="D29" s="7" t="n">
        <v>15</v>
      </c>
      <c r="E29" s="7" t="n">
        <f aca="false">SUMPRODUCT((D5:D29&lt;&gt;"—")*(D5:D29))</f>
        <v>976</v>
      </c>
    </row>
    <row r="31" customFormat="false" ht="30" hidden="false" customHeight="true" outlineLevel="0" collapsed="false">
      <c r="A31" s="17" t="s">
        <v>81</v>
      </c>
      <c r="B31" s="17"/>
      <c r="C31" s="17"/>
      <c r="D31" s="17"/>
      <c r="E31" s="17"/>
    </row>
  </sheetData>
  <mergeCells count="1">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2"/>
    <col collapsed="false" customWidth="true" hidden="false" outlineLevel="0" max="5" min="5" style="1" width="10"/>
  </cols>
  <sheetData>
    <row r="1" customFormat="false" ht="17.25" hidden="false" customHeight="true" outlineLevel="0" collapsed="false">
      <c r="A1" s="2" t="s">
        <v>82</v>
      </c>
    </row>
    <row r="2" customFormat="false" ht="15" hidden="false" customHeight="true" outlineLevel="0" collapsed="false">
      <c r="A2" s="3" t="s">
        <v>83</v>
      </c>
    </row>
    <row r="4" customFormat="false" ht="15" hidden="false" customHeight="true" outlineLevel="0" collapsed="false">
      <c r="A4" s="18" t="s">
        <v>3</v>
      </c>
    </row>
    <row r="5" customFormat="false" ht="15" hidden="false" customHeight="true" outlineLevel="0" collapsed="false">
      <c r="A5" s="4" t="s">
        <v>84</v>
      </c>
      <c r="B5" s="4" t="s">
        <v>85</v>
      </c>
      <c r="C5" s="4" t="s">
        <v>86</v>
      </c>
      <c r="D5" s="4" t="s">
        <v>87</v>
      </c>
      <c r="E5" s="4" t="s">
        <v>88</v>
      </c>
    </row>
    <row r="6" customFormat="false" ht="15" hidden="false" customHeight="true" outlineLevel="0" collapsed="false">
      <c r="A6" s="6" t="s">
        <v>89</v>
      </c>
      <c r="B6" s="6" t="n">
        <v>778</v>
      </c>
      <c r="C6" s="6" t="n">
        <v>672</v>
      </c>
      <c r="D6" s="6" t="n">
        <v>0.86</v>
      </c>
      <c r="E6" s="6" t="n">
        <v>35</v>
      </c>
    </row>
    <row r="7" customFormat="false" ht="15" hidden="false" customHeight="true" outlineLevel="0" collapsed="false">
      <c r="A7" s="6" t="s">
        <v>90</v>
      </c>
      <c r="B7" s="6" t="n">
        <v>75</v>
      </c>
      <c r="C7" s="6" t="n">
        <v>32</v>
      </c>
      <c r="D7" s="6" t="n">
        <v>0.43</v>
      </c>
      <c r="E7" s="6" t="n">
        <v>3</v>
      </c>
    </row>
    <row r="8" customFormat="false" ht="15" hidden="false" customHeight="true" outlineLevel="0" collapsed="false">
      <c r="A8" s="6" t="s">
        <v>91</v>
      </c>
      <c r="B8" s="6" t="n">
        <v>108</v>
      </c>
      <c r="C8" s="6" t="n">
        <v>93</v>
      </c>
      <c r="D8" s="6" t="n">
        <v>0.86</v>
      </c>
      <c r="E8" s="6" t="n">
        <v>3</v>
      </c>
    </row>
    <row r="9" customFormat="false" ht="15" hidden="false" customHeight="true" outlineLevel="0" collapsed="false">
      <c r="A9" s="16" t="s">
        <v>92</v>
      </c>
      <c r="B9" s="16" t="n">
        <f aca="false">SUM(B6:B8)</f>
        <v>961</v>
      </c>
      <c r="C9" s="16" t="n">
        <f aca="false">SUM(C6:C8)</f>
        <v>797</v>
      </c>
      <c r="D9" s="16" t="n">
        <f aca="false">ROUND(C9/B9,2)</f>
        <v>0.83</v>
      </c>
      <c r="E9" s="16" t="n">
        <f aca="false">SUM(E6:E8)</f>
        <v>41</v>
      </c>
    </row>
    <row r="11" customFormat="false" ht="15" hidden="false" customHeight="true" outlineLevel="0" collapsed="false">
      <c r="A11" s="19" t="s">
        <v>4</v>
      </c>
    </row>
    <row r="12" customFormat="false" ht="15" hidden="false" customHeight="true" outlineLevel="0" collapsed="false">
      <c r="A12" s="4" t="s">
        <v>84</v>
      </c>
      <c r="B12" s="4" t="s">
        <v>85</v>
      </c>
      <c r="C12" s="4" t="s">
        <v>86</v>
      </c>
      <c r="D12" s="4" t="s">
        <v>87</v>
      </c>
      <c r="E12" s="4" t="s">
        <v>88</v>
      </c>
    </row>
    <row r="13" customFormat="false" ht="15" hidden="false" customHeight="true" outlineLevel="0" collapsed="false">
      <c r="A13" s="7" t="s">
        <v>93</v>
      </c>
      <c r="B13" s="7" t="n">
        <v>31</v>
      </c>
      <c r="C13" s="7" t="n">
        <v>5</v>
      </c>
      <c r="D13" s="7" t="n">
        <v>0.16</v>
      </c>
      <c r="E13" s="7" t="n">
        <v>0</v>
      </c>
    </row>
    <row r="14" customFormat="false" ht="15" hidden="false" customHeight="true" outlineLevel="0" collapsed="false">
      <c r="A14" s="7" t="s">
        <v>94</v>
      </c>
      <c r="B14" s="7" t="n">
        <v>346</v>
      </c>
      <c r="C14" s="7" t="n">
        <v>145</v>
      </c>
      <c r="D14" s="7" t="n">
        <v>0.42</v>
      </c>
      <c r="E14" s="7" t="n">
        <v>9</v>
      </c>
    </row>
    <row r="15" customFormat="false" ht="15" hidden="false" customHeight="true" outlineLevel="0" collapsed="false">
      <c r="A15" s="7" t="s">
        <v>95</v>
      </c>
      <c r="B15" s="7" t="n">
        <v>438</v>
      </c>
      <c r="C15" s="7" t="n">
        <v>450</v>
      </c>
      <c r="D15" s="7" t="n">
        <v>1.03</v>
      </c>
      <c r="E15" s="7" t="n">
        <v>15</v>
      </c>
    </row>
    <row r="16" customFormat="false" ht="15" hidden="false" customHeight="true" outlineLevel="0" collapsed="false">
      <c r="A16" s="7" t="s">
        <v>96</v>
      </c>
      <c r="B16" s="7" t="n">
        <v>134</v>
      </c>
      <c r="C16" s="7" t="n">
        <v>101</v>
      </c>
      <c r="D16" s="7" t="n">
        <v>0.75</v>
      </c>
      <c r="E16" s="7" t="n">
        <v>5</v>
      </c>
    </row>
    <row r="17" customFormat="false" ht="15" hidden="false" customHeight="true" outlineLevel="0" collapsed="false">
      <c r="A17" s="7" t="s">
        <v>97</v>
      </c>
      <c r="B17" s="7" t="n">
        <v>150</v>
      </c>
      <c r="C17" s="7" t="n">
        <v>130</v>
      </c>
      <c r="D17" s="7" t="n">
        <v>0.87</v>
      </c>
      <c r="E17" s="7" t="n">
        <v>1</v>
      </c>
    </row>
    <row r="18" customFormat="false" ht="15" hidden="false" customHeight="true" outlineLevel="0" collapsed="false">
      <c r="A18" s="16" t="s">
        <v>98</v>
      </c>
      <c r="B18" s="16" t="n">
        <f aca="false">SUM(B13:B17)</f>
        <v>1099</v>
      </c>
      <c r="C18" s="16" t="n">
        <f aca="false">SUM(C13:C17)</f>
        <v>831</v>
      </c>
      <c r="D18" s="16" t="n">
        <f aca="false">ROUND(C18/B18,2)</f>
        <v>0.76</v>
      </c>
      <c r="E18" s="16" t="n">
        <f aca="false">SUM(E13:E17)</f>
        <v>30</v>
      </c>
    </row>
    <row r="20" customFormat="false" ht="15" hidden="false" customHeight="true" outlineLevel="0" collapsed="false">
      <c r="A20" s="15" t="s">
        <v>99</v>
      </c>
      <c r="B20" s="15"/>
      <c r="C20" s="15"/>
      <c r="D20" s="15"/>
      <c r="E20" s="15"/>
    </row>
  </sheetData>
  <mergeCells count="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4" min="3" style="1" width="10"/>
  </cols>
  <sheetData>
    <row r="1" customFormat="false" ht="17.25" hidden="false" customHeight="true" outlineLevel="0" collapsed="false">
      <c r="A1" s="2" t="s">
        <v>100</v>
      </c>
    </row>
    <row r="2" customFormat="false" ht="15" hidden="false" customHeight="true" outlineLevel="0" collapsed="false">
      <c r="A2" s="3" t="s">
        <v>101</v>
      </c>
    </row>
    <row r="4" customFormat="false" ht="15" hidden="false" customHeight="true" outlineLevel="0" collapsed="false">
      <c r="A4" s="18" t="s">
        <v>3</v>
      </c>
    </row>
    <row r="5" customFormat="false" ht="15" hidden="false" customHeight="true" outlineLevel="0" collapsed="false">
      <c r="A5" s="4" t="s">
        <v>102</v>
      </c>
      <c r="B5" s="4" t="s">
        <v>85</v>
      </c>
      <c r="C5" s="4" t="s">
        <v>86</v>
      </c>
      <c r="D5" s="4" t="s">
        <v>103</v>
      </c>
    </row>
    <row r="6" customFormat="false" ht="15" hidden="false" customHeight="true" outlineLevel="0" collapsed="false">
      <c r="A6" s="5" t="s">
        <v>104</v>
      </c>
      <c r="B6" s="6" t="n">
        <v>520</v>
      </c>
      <c r="C6" s="6" t="n">
        <v>474</v>
      </c>
      <c r="D6" s="6" t="n">
        <v>196</v>
      </c>
    </row>
    <row r="7" customFormat="false" ht="15" hidden="false" customHeight="true" outlineLevel="0" collapsed="false">
      <c r="A7" s="5" t="s">
        <v>105</v>
      </c>
      <c r="B7" s="6" t="n">
        <v>163</v>
      </c>
      <c r="C7" s="6" t="n">
        <v>129</v>
      </c>
      <c r="D7" s="6" t="n">
        <v>39</v>
      </c>
    </row>
    <row r="8" customFormat="false" ht="15" hidden="false" customHeight="true" outlineLevel="0" collapsed="false">
      <c r="A8" s="5" t="s">
        <v>106</v>
      </c>
      <c r="B8" s="6" t="n">
        <v>80</v>
      </c>
      <c r="C8" s="6" t="n">
        <v>56</v>
      </c>
      <c r="D8" s="6" t="n">
        <v>33</v>
      </c>
    </row>
    <row r="9" customFormat="false" ht="15" hidden="false" customHeight="true" outlineLevel="0" collapsed="false">
      <c r="A9" s="5" t="s">
        <v>107</v>
      </c>
      <c r="B9" s="6" t="n">
        <v>78</v>
      </c>
      <c r="C9" s="6" t="n">
        <v>70</v>
      </c>
      <c r="D9" s="6" t="n">
        <v>44</v>
      </c>
    </row>
    <row r="10" customFormat="false" ht="15" hidden="false" customHeight="true" outlineLevel="0" collapsed="false">
      <c r="A10" s="5" t="s">
        <v>108</v>
      </c>
      <c r="B10" s="6" t="n">
        <v>58</v>
      </c>
      <c r="C10" s="6" t="n">
        <v>22</v>
      </c>
      <c r="D10" s="6" t="n">
        <v>29</v>
      </c>
    </row>
    <row r="11" customFormat="false" ht="15" hidden="false" customHeight="true" outlineLevel="0" collapsed="false">
      <c r="A11" s="16" t="s">
        <v>109</v>
      </c>
      <c r="B11" s="16" t="n">
        <f aca="false">SUM(B6:B10)</f>
        <v>899</v>
      </c>
      <c r="C11" s="16" t="n">
        <f aca="false">SUM(C6:C10)</f>
        <v>751</v>
      </c>
      <c r="D11" s="16" t="n">
        <f aca="false">SUM(D6:D10)</f>
        <v>341</v>
      </c>
    </row>
    <row r="12" customFormat="false" ht="15" hidden="false" customHeight="true" outlineLevel="0" collapsed="false">
      <c r="A12" s="16" t="s">
        <v>110</v>
      </c>
      <c r="B12" s="16" t="n">
        <v>961</v>
      </c>
      <c r="C12" s="16" t="n">
        <v>797</v>
      </c>
      <c r="D12" s="16" t="n">
        <v>358</v>
      </c>
    </row>
    <row r="14" customFormat="false" ht="15" hidden="false" customHeight="true" outlineLevel="0" collapsed="false">
      <c r="A14" s="19" t="s">
        <v>4</v>
      </c>
    </row>
    <row r="15" customFormat="false" ht="15" hidden="false" customHeight="true" outlineLevel="0" collapsed="false">
      <c r="A15" s="4" t="s">
        <v>102</v>
      </c>
      <c r="B15" s="4" t="s">
        <v>85</v>
      </c>
      <c r="C15" s="4" t="s">
        <v>86</v>
      </c>
      <c r="D15" s="4" t="s">
        <v>103</v>
      </c>
    </row>
    <row r="16" customFormat="false" ht="15" hidden="false" customHeight="true" outlineLevel="0" collapsed="false">
      <c r="A16" s="5" t="s">
        <v>104</v>
      </c>
      <c r="B16" s="7" t="n">
        <v>292</v>
      </c>
      <c r="C16" s="7" t="n">
        <v>311</v>
      </c>
      <c r="D16" s="7" t="s">
        <v>43</v>
      </c>
    </row>
    <row r="17" customFormat="false" ht="15" hidden="false" customHeight="true" outlineLevel="0" collapsed="false">
      <c r="A17" s="5" t="s">
        <v>111</v>
      </c>
      <c r="B17" s="7" t="n">
        <v>236</v>
      </c>
      <c r="C17" s="7" t="n">
        <v>103</v>
      </c>
      <c r="D17" s="7" t="s">
        <v>43</v>
      </c>
    </row>
    <row r="18" customFormat="false" ht="15" hidden="false" customHeight="true" outlineLevel="0" collapsed="false">
      <c r="A18" s="5" t="s">
        <v>105</v>
      </c>
      <c r="B18" s="7" t="n">
        <v>183</v>
      </c>
      <c r="C18" s="7" t="n">
        <v>140</v>
      </c>
      <c r="D18" s="7" t="s">
        <v>43</v>
      </c>
    </row>
    <row r="19" customFormat="false" ht="15" hidden="false" customHeight="true" outlineLevel="0" collapsed="false">
      <c r="A19" s="5" t="s">
        <v>112</v>
      </c>
      <c r="B19" s="7" t="n">
        <v>98</v>
      </c>
      <c r="C19" s="7" t="n">
        <v>81</v>
      </c>
      <c r="D19" s="7" t="s">
        <v>43</v>
      </c>
    </row>
    <row r="20" customFormat="false" ht="15" hidden="false" customHeight="true" outlineLevel="0" collapsed="false">
      <c r="A20" s="16" t="s">
        <v>113</v>
      </c>
      <c r="B20" s="16" t="n">
        <f aca="false">SUM(B16:B19)</f>
        <v>809</v>
      </c>
      <c r="C20" s="16" t="n">
        <f aca="false">SUM(C16:C19)</f>
        <v>635</v>
      </c>
      <c r="D20" s="8"/>
    </row>
    <row r="21" customFormat="false" ht="15" hidden="false" customHeight="true" outlineLevel="0" collapsed="false">
      <c r="A21" s="16" t="s">
        <v>110</v>
      </c>
      <c r="B21" s="16" t="n">
        <v>1099</v>
      </c>
      <c r="C21" s="16" t="n">
        <v>831</v>
      </c>
      <c r="D21" s="16" t="n">
        <v>224</v>
      </c>
    </row>
    <row r="23" customFormat="false" ht="30" hidden="false" customHeight="true" outlineLevel="0" collapsed="false">
      <c r="A23" s="17" t="s">
        <v>114</v>
      </c>
      <c r="B23" s="17"/>
      <c r="C23" s="17"/>
      <c r="D23" s="17"/>
    </row>
  </sheetData>
  <mergeCells count="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5" min="2" style="1" width="14"/>
  </cols>
  <sheetData>
    <row r="1" customFormat="false" ht="17.25" hidden="false" customHeight="true" outlineLevel="0" collapsed="false">
      <c r="A1" s="2" t="s">
        <v>115</v>
      </c>
    </row>
    <row r="2" customFormat="false" ht="15" hidden="false" customHeight="true" outlineLevel="0" collapsed="false">
      <c r="A2" s="3" t="s">
        <v>116</v>
      </c>
    </row>
    <row r="4" customFormat="false" ht="15" hidden="false" customHeight="true" outlineLevel="0" collapsed="false">
      <c r="A4" s="4" t="s">
        <v>2</v>
      </c>
      <c r="B4" s="4" t="s">
        <v>117</v>
      </c>
      <c r="C4" s="4" t="s">
        <v>118</v>
      </c>
    </row>
    <row r="5" customFormat="false" ht="15" hidden="false" customHeight="true" outlineLevel="0" collapsed="false">
      <c r="A5" s="5" t="s">
        <v>119</v>
      </c>
      <c r="B5" s="6" t="n">
        <v>207</v>
      </c>
      <c r="C5" s="7" t="n">
        <v>233</v>
      </c>
    </row>
    <row r="6" customFormat="false" ht="15" hidden="false" customHeight="true" outlineLevel="0" collapsed="false">
      <c r="A6" s="5" t="s">
        <v>86</v>
      </c>
      <c r="B6" s="6" t="n">
        <v>125</v>
      </c>
      <c r="C6" s="7" t="n">
        <v>146</v>
      </c>
    </row>
    <row r="7" customFormat="false" ht="15" hidden="false" customHeight="true" outlineLevel="0" collapsed="false">
      <c r="A7" s="5" t="s">
        <v>103</v>
      </c>
      <c r="B7" s="6" t="n">
        <v>66</v>
      </c>
      <c r="C7" s="7" t="n">
        <v>36</v>
      </c>
    </row>
    <row r="8" customFormat="false" ht="15" hidden="false" customHeight="true" outlineLevel="0" collapsed="false">
      <c r="A8" s="5" t="s">
        <v>10</v>
      </c>
      <c r="B8" s="6" t="n">
        <v>0.61</v>
      </c>
      <c r="C8" s="7" t="n">
        <v>0.63</v>
      </c>
    </row>
    <row r="9" customFormat="false" ht="15" hidden="false" customHeight="true" outlineLevel="0" collapsed="false">
      <c r="A9" s="5" t="s">
        <v>120</v>
      </c>
      <c r="B9" s="6" t="n">
        <v>5</v>
      </c>
      <c r="C9" s="7" t="n">
        <v>3</v>
      </c>
    </row>
    <row r="12" customFormat="false" ht="15" hidden="false" customHeight="true" outlineLevel="0" collapsed="false">
      <c r="A12" s="14" t="s">
        <v>121</v>
      </c>
    </row>
    <row r="13" customFormat="false" ht="15" hidden="false" customHeight="true" outlineLevel="0" collapsed="false">
      <c r="A13" s="4" t="s">
        <v>102</v>
      </c>
      <c r="B13" s="4" t="s">
        <v>34</v>
      </c>
      <c r="C13" s="4" t="s">
        <v>35</v>
      </c>
      <c r="D13" s="4" t="s">
        <v>38</v>
      </c>
      <c r="E13" s="4" t="s">
        <v>39</v>
      </c>
    </row>
    <row r="14" customFormat="false" ht="15" hidden="false" customHeight="true" outlineLevel="0" collapsed="false">
      <c r="A14" s="5" t="s">
        <v>122</v>
      </c>
      <c r="B14" s="5" t="n">
        <v>31</v>
      </c>
      <c r="C14" s="5" t="n">
        <v>21</v>
      </c>
      <c r="D14" s="5" t="n">
        <v>27</v>
      </c>
      <c r="E14" s="5" t="n">
        <v>11</v>
      </c>
    </row>
    <row r="15" customFormat="false" ht="15" hidden="false" customHeight="true" outlineLevel="0" collapsed="false">
      <c r="A15" s="5" t="s">
        <v>123</v>
      </c>
      <c r="B15" s="5" t="n">
        <v>72</v>
      </c>
      <c r="C15" s="5" t="n">
        <v>36</v>
      </c>
      <c r="D15" s="5" t="n">
        <v>52</v>
      </c>
      <c r="E15" s="5" t="n">
        <v>41</v>
      </c>
    </row>
    <row r="16" customFormat="false" ht="15" hidden="false" customHeight="true" outlineLevel="0" collapsed="false">
      <c r="A16" s="5" t="s">
        <v>124</v>
      </c>
      <c r="B16" s="5" t="n">
        <v>39</v>
      </c>
      <c r="C16" s="5" t="n">
        <v>14</v>
      </c>
      <c r="D16" s="5" t="s">
        <v>43</v>
      </c>
      <c r="E16" s="5" t="s">
        <v>43</v>
      </c>
    </row>
    <row r="17" customFormat="false" ht="15" hidden="false" customHeight="true" outlineLevel="0" collapsed="false">
      <c r="A17" s="5" t="s">
        <v>125</v>
      </c>
      <c r="B17" s="5" t="s">
        <v>43</v>
      </c>
      <c r="C17" s="5" t="s">
        <v>43</v>
      </c>
      <c r="D17" s="5" t="n">
        <v>30</v>
      </c>
      <c r="E17" s="5" t="n">
        <v>14</v>
      </c>
    </row>
    <row r="18" customFormat="false" ht="15" hidden="false" customHeight="true" outlineLevel="0" collapsed="false">
      <c r="A18" s="5" t="s">
        <v>126</v>
      </c>
      <c r="B18" s="5" t="s">
        <v>43</v>
      </c>
      <c r="C18" s="5" t="s">
        <v>43</v>
      </c>
      <c r="D18" s="5" t="n">
        <v>44</v>
      </c>
      <c r="E18" s="5" t="n">
        <v>41</v>
      </c>
    </row>
    <row r="19" customFormat="false" ht="15" hidden="false" customHeight="true" outlineLevel="0" collapsed="false">
      <c r="A19" s="5" t="s">
        <v>127</v>
      </c>
      <c r="B19" s="5" t="n">
        <v>61</v>
      </c>
      <c r="C19" s="5" t="n">
        <v>54</v>
      </c>
      <c r="D19" s="5" t="s">
        <v>43</v>
      </c>
      <c r="E19" s="5" t="s">
        <v>43</v>
      </c>
    </row>
    <row r="22" customFormat="false" ht="15" hidden="false" customHeight="true" outlineLevel="0" collapsed="false">
      <c r="A22" s="14" t="s">
        <v>128</v>
      </c>
    </row>
    <row r="23" customFormat="false" ht="15" hidden="false" customHeight="true" outlineLevel="0" collapsed="false">
      <c r="A23" s="20" t="s">
        <v>129</v>
      </c>
      <c r="B23" s="21" t="s">
        <v>130</v>
      </c>
      <c r="C23" s="21"/>
      <c r="D23" s="21"/>
      <c r="E23" s="21"/>
    </row>
    <row r="24" customFormat="false" ht="15" hidden="false" customHeight="true" outlineLevel="0" collapsed="false">
      <c r="A24" s="20" t="s">
        <v>131</v>
      </c>
      <c r="B24" s="21" t="s">
        <v>132</v>
      </c>
      <c r="C24" s="21"/>
      <c r="D24" s="21"/>
      <c r="E24" s="21"/>
    </row>
  </sheetData>
  <mergeCells count="2">
    <mergeCell ref="B23:E23"/>
    <mergeCell ref="B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6"/>
  </cols>
  <sheetData>
    <row r="1" customFormat="false" ht="17.25" hidden="false" customHeight="true" outlineLevel="0" collapsed="false">
      <c r="A1" s="2" t="s">
        <v>133</v>
      </c>
    </row>
    <row r="2" customFormat="false" ht="15" hidden="false" customHeight="true" outlineLevel="0" collapsed="false">
      <c r="A2" s="3" t="s">
        <v>134</v>
      </c>
    </row>
    <row r="4" customFormat="false" ht="15" hidden="false" customHeight="true" outlineLevel="0" collapsed="false">
      <c r="A4" s="14" t="s">
        <v>105</v>
      </c>
    </row>
    <row r="5" customFormat="false" ht="15" hidden="false" customHeight="true" outlineLevel="0" collapsed="false">
      <c r="A5" s="4" t="s">
        <v>2</v>
      </c>
      <c r="B5" s="4" t="s">
        <v>135</v>
      </c>
      <c r="C5" s="4" t="s">
        <v>136</v>
      </c>
    </row>
    <row r="6" customFormat="false" ht="15" hidden="false" customHeight="true" outlineLevel="0" collapsed="false">
      <c r="A6" s="5" t="s">
        <v>85</v>
      </c>
      <c r="B6" s="6" t="n">
        <v>163</v>
      </c>
      <c r="C6" s="7" t="n">
        <v>183</v>
      </c>
    </row>
    <row r="7" customFormat="false" ht="15" hidden="false" customHeight="true" outlineLevel="0" collapsed="false">
      <c r="A7" s="5" t="s">
        <v>86</v>
      </c>
      <c r="B7" s="6" t="n">
        <v>129</v>
      </c>
      <c r="C7" s="7" t="n">
        <v>140</v>
      </c>
    </row>
    <row r="8" customFormat="false" ht="15" hidden="false" customHeight="true" outlineLevel="0" collapsed="false">
      <c r="A8" s="5" t="s">
        <v>103</v>
      </c>
      <c r="B8" s="6" t="n">
        <v>39</v>
      </c>
      <c r="C8" s="7" t="n">
        <v>40</v>
      </c>
    </row>
    <row r="9" customFormat="false" ht="15" hidden="false" customHeight="true" outlineLevel="0" collapsed="false">
      <c r="A9" s="5" t="s">
        <v>137</v>
      </c>
      <c r="B9" s="6" t="n">
        <v>4</v>
      </c>
      <c r="C9" s="7" t="n">
        <v>5</v>
      </c>
    </row>
    <row r="10" customFormat="false" ht="15" hidden="false" customHeight="true" outlineLevel="0" collapsed="false">
      <c r="A10" s="20" t="s">
        <v>138</v>
      </c>
      <c r="B10" s="22" t="s">
        <v>139</v>
      </c>
      <c r="C10" s="22" t="s">
        <v>140</v>
      </c>
    </row>
    <row r="13" customFormat="false" ht="15" hidden="false" customHeight="true" outlineLevel="0" collapsed="false">
      <c r="A13" s="14" t="s">
        <v>141</v>
      </c>
    </row>
    <row r="14" customFormat="false" ht="15" hidden="false" customHeight="true" outlineLevel="0" collapsed="false">
      <c r="A14" s="4" t="s">
        <v>2</v>
      </c>
      <c r="B14" s="4" t="s">
        <v>135</v>
      </c>
      <c r="C14" s="4" t="s">
        <v>136</v>
      </c>
    </row>
    <row r="15" customFormat="false" ht="15" hidden="false" customHeight="true" outlineLevel="0" collapsed="false">
      <c r="A15" s="5" t="s">
        <v>85</v>
      </c>
      <c r="B15" s="6" t="n">
        <v>31</v>
      </c>
      <c r="C15" s="7" t="n">
        <v>27</v>
      </c>
    </row>
    <row r="16" customFormat="false" ht="15" hidden="false" customHeight="true" outlineLevel="0" collapsed="false">
      <c r="A16" s="5" t="s">
        <v>86</v>
      </c>
      <c r="B16" s="6" t="n">
        <v>21</v>
      </c>
      <c r="C16" s="7" t="n">
        <v>11</v>
      </c>
    </row>
    <row r="17" customFormat="false" ht="15" hidden="false" customHeight="true" outlineLevel="0" collapsed="false">
      <c r="A17" s="5" t="s">
        <v>103</v>
      </c>
      <c r="B17" s="6" t="n">
        <v>9</v>
      </c>
      <c r="C17" s="7" t="n">
        <v>2</v>
      </c>
    </row>
    <row r="18" customFormat="false" ht="15" hidden="false" customHeight="true" outlineLevel="0" collapsed="false">
      <c r="A18" s="5" t="s">
        <v>10</v>
      </c>
      <c r="B18" s="6" t="n">
        <v>0.68</v>
      </c>
      <c r="C18" s="7" t="n">
        <v>0.41</v>
      </c>
    </row>
    <row r="19" customFormat="false" ht="15" hidden="false" customHeight="true" outlineLevel="0" collapsed="false">
      <c r="A19" s="5" t="s">
        <v>22</v>
      </c>
      <c r="B19" s="6" t="n">
        <v>0.29</v>
      </c>
      <c r="C19" s="7" t="n">
        <v>0.07</v>
      </c>
    </row>
    <row r="20" customFormat="false" ht="15" hidden="false" customHeight="true" outlineLevel="0" collapsed="false">
      <c r="A20" s="5" t="s">
        <v>11</v>
      </c>
      <c r="B20" s="6" t="n">
        <v>1</v>
      </c>
      <c r="C20" s="7" t="n">
        <v>1</v>
      </c>
    </row>
    <row r="21" customFormat="false" ht="15" hidden="false" customHeight="true" outlineLevel="0" collapsed="false">
      <c r="A21" s="5" t="s">
        <v>137</v>
      </c>
      <c r="B21" s="6" t="n">
        <v>1</v>
      </c>
      <c r="C21" s="7" t="n">
        <v>0</v>
      </c>
    </row>
    <row r="23" customFormat="false" ht="15" hidden="false" customHeight="true" outlineLevel="0" collapsed="false">
      <c r="A23" s="15" t="s">
        <v>142</v>
      </c>
      <c r="B23" s="15"/>
      <c r="C23" s="15"/>
    </row>
  </sheetData>
  <mergeCells count="1">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8"/>
    <col collapsed="false" customWidth="true" hidden="false" outlineLevel="0" max="4" min="4" style="1" width="13"/>
    <col collapsed="false" customWidth="true" hidden="false" outlineLevel="0" max="5" min="5" style="1" width="14"/>
  </cols>
  <sheetData>
    <row r="1" customFormat="false" ht="17.25" hidden="false" customHeight="true" outlineLevel="0" collapsed="false">
      <c r="A1" s="2" t="s">
        <v>143</v>
      </c>
    </row>
    <row r="2" customFormat="false" ht="15" hidden="false" customHeight="true" outlineLevel="0" collapsed="false">
      <c r="A2" s="3" t="s">
        <v>144</v>
      </c>
    </row>
    <row r="4" customFormat="false" ht="15" hidden="false" customHeight="true" outlineLevel="0" collapsed="false">
      <c r="A4" s="14" t="s">
        <v>145</v>
      </c>
    </row>
    <row r="5" customFormat="false" ht="15" hidden="false" customHeight="true" outlineLevel="0" collapsed="false">
      <c r="A5" s="4" t="s">
        <v>2</v>
      </c>
      <c r="B5" s="4" t="s">
        <v>146</v>
      </c>
    </row>
    <row r="6" customFormat="false" ht="15" hidden="false" customHeight="true" outlineLevel="0" collapsed="false">
      <c r="A6" s="5" t="s">
        <v>147</v>
      </c>
      <c r="B6" s="5" t="n">
        <v>36</v>
      </c>
    </row>
    <row r="7" customFormat="false" ht="15" hidden="false" customHeight="true" outlineLevel="0" collapsed="false">
      <c r="A7" s="9" t="s">
        <v>148</v>
      </c>
      <c r="B7" s="9" t="n">
        <v>16</v>
      </c>
    </row>
    <row r="8" customFormat="false" ht="15" hidden="false" customHeight="true" outlineLevel="0" collapsed="false">
      <c r="A8" s="5" t="s">
        <v>149</v>
      </c>
      <c r="B8" s="5" t="n">
        <v>9</v>
      </c>
    </row>
    <row r="9" customFormat="false" ht="15" hidden="false" customHeight="true" outlineLevel="0" collapsed="false">
      <c r="A9" s="9" t="s">
        <v>150</v>
      </c>
      <c r="B9" s="9" t="n">
        <v>11</v>
      </c>
    </row>
    <row r="10" customFormat="false" ht="15" hidden="false" customHeight="true" outlineLevel="0" collapsed="false">
      <c r="A10" s="5" t="s">
        <v>151</v>
      </c>
      <c r="B10" s="5" t="n">
        <v>22</v>
      </c>
    </row>
    <row r="11" customFormat="false" ht="15" hidden="false" customHeight="true" outlineLevel="0" collapsed="false">
      <c r="A11" s="9" t="s">
        <v>152</v>
      </c>
      <c r="B11" s="9" t="n">
        <v>21</v>
      </c>
    </row>
    <row r="12" customFormat="false" ht="15" hidden="false" customHeight="true" outlineLevel="0" collapsed="false">
      <c r="A12" s="5" t="s">
        <v>153</v>
      </c>
      <c r="B12" s="5" t="n">
        <v>12</v>
      </c>
    </row>
    <row r="13" customFormat="false" ht="15" hidden="false" customHeight="true" outlineLevel="0" collapsed="false">
      <c r="A13" s="9" t="s">
        <v>154</v>
      </c>
      <c r="B13" s="9" t="n">
        <v>1</v>
      </c>
    </row>
    <row r="14" customFormat="false" ht="15" hidden="false" customHeight="true" outlineLevel="0" collapsed="false">
      <c r="A14" s="5" t="s">
        <v>155</v>
      </c>
      <c r="B14" s="5" t="s">
        <v>156</v>
      </c>
    </row>
    <row r="16" customFormat="false" ht="15" hidden="false" customHeight="true" outlineLevel="0" collapsed="false">
      <c r="A16" s="14" t="s">
        <v>157</v>
      </c>
    </row>
    <row r="17" customFormat="false" ht="15" hidden="false" customHeight="true" outlineLevel="0" collapsed="false">
      <c r="A17" s="4" t="s">
        <v>102</v>
      </c>
      <c r="B17" s="4" t="s">
        <v>158</v>
      </c>
      <c r="C17" s="4" t="s">
        <v>159</v>
      </c>
      <c r="D17" s="4" t="s">
        <v>35</v>
      </c>
      <c r="E17" s="4" t="s">
        <v>39</v>
      </c>
    </row>
    <row r="18" customFormat="false" ht="15" hidden="false" customHeight="true" outlineLevel="0" collapsed="false">
      <c r="A18" s="5" t="s">
        <v>104</v>
      </c>
      <c r="B18" s="5" t="n">
        <v>18</v>
      </c>
      <c r="C18" s="5" t="s">
        <v>160</v>
      </c>
      <c r="D18" s="5" t="n">
        <v>12</v>
      </c>
      <c r="E18" s="5" t="n">
        <v>9</v>
      </c>
    </row>
    <row r="19" customFormat="false" ht="15" hidden="false" customHeight="true" outlineLevel="0" collapsed="false">
      <c r="A19" s="9" t="s">
        <v>161</v>
      </c>
      <c r="B19" s="9" t="n">
        <v>6</v>
      </c>
      <c r="C19" s="9" t="s">
        <v>162</v>
      </c>
      <c r="D19" s="9" t="n">
        <v>3</v>
      </c>
      <c r="E19" s="9" t="n">
        <v>2</v>
      </c>
    </row>
    <row r="20" customFormat="false" ht="15" hidden="false" customHeight="true" outlineLevel="0" collapsed="false">
      <c r="A20" s="5" t="s">
        <v>106</v>
      </c>
      <c r="B20" s="5" t="n">
        <v>5</v>
      </c>
      <c r="C20" s="5" t="s">
        <v>163</v>
      </c>
      <c r="D20" s="5" t="n">
        <v>0</v>
      </c>
      <c r="E20" s="5" t="n">
        <v>5</v>
      </c>
    </row>
    <row r="21" customFormat="false" ht="15" hidden="false" customHeight="true" outlineLevel="0" collapsed="false">
      <c r="A21" s="9" t="s">
        <v>164</v>
      </c>
      <c r="B21" s="9" t="n">
        <v>5</v>
      </c>
      <c r="C21" s="9" t="s">
        <v>165</v>
      </c>
      <c r="D21" s="9" t="n">
        <v>6</v>
      </c>
      <c r="E21" s="9" t="n">
        <v>4</v>
      </c>
    </row>
    <row r="22" customFormat="false" ht="15" hidden="false" customHeight="true" outlineLevel="0" collapsed="false">
      <c r="A22" s="5" t="s">
        <v>166</v>
      </c>
      <c r="B22" s="5" t="n">
        <v>2</v>
      </c>
      <c r="C22" s="5" t="s">
        <v>167</v>
      </c>
      <c r="D22" s="5" t="n">
        <v>1</v>
      </c>
      <c r="E22" s="5" t="n">
        <v>1</v>
      </c>
    </row>
    <row r="23" customFormat="false" ht="15" hidden="false" customHeight="true" outlineLevel="0" collapsed="false">
      <c r="A23" s="16" t="s">
        <v>168</v>
      </c>
      <c r="B23" s="16" t="n">
        <f aca="false">SUM(B18:B22)</f>
        <v>36</v>
      </c>
      <c r="C23" s="8"/>
      <c r="D23" s="16" t="n">
        <f aca="false">SUM(D18:D22)</f>
        <v>22</v>
      </c>
      <c r="E23" s="16" t="n">
        <f aca="false">SUM(E18:E22)</f>
        <v>21</v>
      </c>
    </row>
    <row r="25" customFormat="false" ht="30" hidden="false" customHeight="true" outlineLevel="0" collapsed="false">
      <c r="A25" s="17" t="s">
        <v>169</v>
      </c>
      <c r="B25" s="17"/>
      <c r="C25" s="17"/>
      <c r="D25" s="17"/>
      <c r="E25" s="17"/>
    </row>
  </sheetData>
  <mergeCells count="1">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2"/>
  </cols>
  <sheetData>
    <row r="1" customFormat="false" ht="17.25" hidden="false" customHeight="true" outlineLevel="0" collapsed="false">
      <c r="A1" s="2" t="s">
        <v>170</v>
      </c>
    </row>
    <row r="4" customFormat="false" ht="15" hidden="false" customHeight="true" outlineLevel="0" collapsed="false">
      <c r="A4" s="14" t="s">
        <v>171</v>
      </c>
    </row>
    <row r="5" customFormat="false" ht="15" hidden="false" customHeight="true" outlineLevel="0" collapsed="false">
      <c r="A5" s="4" t="s">
        <v>2</v>
      </c>
      <c r="B5" s="4" t="s">
        <v>135</v>
      </c>
      <c r="C5" s="4" t="s">
        <v>136</v>
      </c>
    </row>
    <row r="6" customFormat="false" ht="15" hidden="false" customHeight="true" outlineLevel="0" collapsed="false">
      <c r="A6" s="5" t="s">
        <v>85</v>
      </c>
      <c r="B6" s="6" t="n">
        <v>45</v>
      </c>
      <c r="C6" s="7" t="n">
        <v>30</v>
      </c>
    </row>
    <row r="7" customFormat="false" ht="15" hidden="false" customHeight="true" outlineLevel="0" collapsed="false">
      <c r="A7" s="5" t="s">
        <v>86</v>
      </c>
      <c r="B7" s="6" t="n">
        <v>26</v>
      </c>
      <c r="C7" s="7" t="n">
        <v>18</v>
      </c>
    </row>
    <row r="8" customFormat="false" ht="15" hidden="false" customHeight="true" outlineLevel="0" collapsed="false">
      <c r="A8" s="5" t="s">
        <v>103</v>
      </c>
      <c r="B8" s="6" t="n">
        <v>14</v>
      </c>
      <c r="C8" s="7" t="n">
        <v>1</v>
      </c>
    </row>
    <row r="10" customFormat="false" ht="27.75" hidden="false" customHeight="true" outlineLevel="0" collapsed="false">
      <c r="A10" s="13" t="s">
        <v>172</v>
      </c>
      <c r="B10" s="13"/>
      <c r="C10" s="13"/>
    </row>
    <row r="12" customFormat="false" ht="15" hidden="false" customHeight="true" outlineLevel="0" collapsed="false">
      <c r="A12" s="14" t="s">
        <v>173</v>
      </c>
    </row>
    <row r="13" customFormat="false" ht="15" hidden="false" customHeight="true" outlineLevel="0" collapsed="false">
      <c r="A13" s="4" t="s">
        <v>2</v>
      </c>
      <c r="B13" s="4" t="s">
        <v>135</v>
      </c>
      <c r="C13" s="4" t="s">
        <v>136</v>
      </c>
    </row>
    <row r="14" customFormat="false" ht="15" hidden="false" customHeight="true" outlineLevel="0" collapsed="false">
      <c r="A14" s="5" t="s">
        <v>174</v>
      </c>
      <c r="B14" s="6" t="n">
        <v>52</v>
      </c>
      <c r="C14" s="7" t="n">
        <v>41</v>
      </c>
    </row>
    <row r="15" customFormat="false" ht="15" hidden="false" customHeight="true" outlineLevel="0" collapsed="false">
      <c r="A15" s="5" t="s">
        <v>175</v>
      </c>
      <c r="B15" s="6" t="n">
        <v>35</v>
      </c>
      <c r="C15" s="7" t="n">
        <v>25</v>
      </c>
    </row>
    <row r="16" customFormat="false" ht="15" hidden="false" customHeight="true" outlineLevel="0" collapsed="false">
      <c r="A16" s="5" t="s">
        <v>176</v>
      </c>
      <c r="B16" s="6" t="n">
        <v>18</v>
      </c>
      <c r="C16" s="7" t="n">
        <v>1</v>
      </c>
    </row>
    <row r="17" customFormat="false" ht="15" hidden="false" customHeight="true" outlineLevel="0" collapsed="false">
      <c r="A17" s="5" t="s">
        <v>177</v>
      </c>
      <c r="B17" s="6" t="n">
        <v>32</v>
      </c>
      <c r="C17" s="7" t="n">
        <v>25</v>
      </c>
    </row>
    <row r="18" customFormat="false" ht="15" hidden="false" customHeight="true" outlineLevel="0" collapsed="false">
      <c r="A18" s="5" t="s">
        <v>149</v>
      </c>
      <c r="B18" s="6" t="n">
        <v>4</v>
      </c>
      <c r="C18" s="7" t="n">
        <v>2</v>
      </c>
    </row>
    <row r="19" customFormat="false" ht="15" hidden="false" customHeight="true" outlineLevel="0" collapsed="false">
      <c r="A19" s="5" t="s">
        <v>178</v>
      </c>
      <c r="B19" s="6" t="n">
        <v>16</v>
      </c>
      <c r="C19" s="7" t="n">
        <v>14</v>
      </c>
    </row>
    <row r="21" customFormat="false" ht="30" hidden="false" customHeight="true" outlineLevel="0" collapsed="false">
      <c r="A21" s="17" t="s">
        <v>179</v>
      </c>
      <c r="B21" s="17"/>
      <c r="C21" s="17"/>
    </row>
  </sheetData>
  <mergeCells count="2">
    <mergeCell ref="A10:C10"/>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14"/>
    <col collapsed="false" customWidth="true" hidden="false" outlineLevel="0" max="4" min="4" style="1" width="12"/>
  </cols>
  <sheetData>
    <row r="1" customFormat="false" ht="17.25" hidden="false" customHeight="true" outlineLevel="0" collapsed="false">
      <c r="A1" s="2" t="s">
        <v>180</v>
      </c>
    </row>
    <row r="2" customFormat="false" ht="15" hidden="false" customHeight="true" outlineLevel="0" collapsed="false">
      <c r="A2" s="3" t="s">
        <v>181</v>
      </c>
    </row>
    <row r="4" customFormat="false" ht="15" hidden="false" customHeight="true" outlineLevel="0" collapsed="false">
      <c r="A4" s="18" t="s">
        <v>182</v>
      </c>
    </row>
    <row r="5" customFormat="false" ht="15" hidden="false" customHeight="true" outlineLevel="0" collapsed="false">
      <c r="A5" s="4" t="s">
        <v>183</v>
      </c>
      <c r="B5" s="4" t="s">
        <v>86</v>
      </c>
      <c r="C5" s="4" t="s">
        <v>85</v>
      </c>
      <c r="D5" s="4" t="s">
        <v>87</v>
      </c>
    </row>
    <row r="6" customFormat="false" ht="15" hidden="false" customHeight="true" outlineLevel="0" collapsed="false">
      <c r="A6" s="5" t="s">
        <v>184</v>
      </c>
      <c r="B6" s="6" t="n">
        <v>38</v>
      </c>
      <c r="C6" s="6" t="n">
        <v>43</v>
      </c>
      <c r="D6" s="6" t="n">
        <f aca="false">ROUND(B6/C6,2)</f>
        <v>0.88</v>
      </c>
    </row>
    <row r="7" customFormat="false" ht="15" hidden="false" customHeight="true" outlineLevel="0" collapsed="false">
      <c r="A7" s="5" t="s">
        <v>185</v>
      </c>
      <c r="B7" s="6" t="n">
        <v>32</v>
      </c>
      <c r="C7" s="6" t="n">
        <v>43</v>
      </c>
      <c r="D7" s="6" t="n">
        <f aca="false">ROUND(B7/C7,2)</f>
        <v>0.74</v>
      </c>
    </row>
    <row r="8" customFormat="false" ht="15" hidden="false" customHeight="true" outlineLevel="0" collapsed="false">
      <c r="A8" s="5" t="s">
        <v>186</v>
      </c>
      <c r="B8" s="6" t="n">
        <v>31</v>
      </c>
      <c r="C8" s="6" t="n">
        <v>36</v>
      </c>
      <c r="D8" s="6" t="n">
        <f aca="false">ROUND(B8/C8,2)</f>
        <v>0.86</v>
      </c>
    </row>
    <row r="9" customFormat="false" ht="15" hidden="false" customHeight="true" outlineLevel="0" collapsed="false">
      <c r="A9" s="5" t="s">
        <v>187</v>
      </c>
      <c r="B9" s="6" t="n">
        <v>29</v>
      </c>
      <c r="C9" s="6" t="n">
        <v>41</v>
      </c>
      <c r="D9" s="6" t="n">
        <f aca="false">ROUND(B9/C9,2)</f>
        <v>0.71</v>
      </c>
    </row>
    <row r="10" customFormat="false" ht="15" hidden="false" customHeight="true" outlineLevel="0" collapsed="false">
      <c r="A10" s="5" t="s">
        <v>95</v>
      </c>
      <c r="B10" s="6" t="n">
        <v>26</v>
      </c>
      <c r="C10" s="6" t="n">
        <v>47</v>
      </c>
      <c r="D10" s="6" t="n">
        <f aca="false">ROUND(B10/C10,2)</f>
        <v>0.55</v>
      </c>
    </row>
    <row r="12" customFormat="false" ht="15" hidden="false" customHeight="true" outlineLevel="0" collapsed="false">
      <c r="A12" s="19" t="s">
        <v>188</v>
      </c>
    </row>
    <row r="13" customFormat="false" ht="15" hidden="false" customHeight="true" outlineLevel="0" collapsed="false">
      <c r="A13" s="4" t="s">
        <v>183</v>
      </c>
      <c r="B13" s="4" t="s">
        <v>86</v>
      </c>
      <c r="C13" s="4" t="s">
        <v>85</v>
      </c>
      <c r="D13" s="4" t="s">
        <v>87</v>
      </c>
    </row>
    <row r="14" customFormat="false" ht="15" hidden="false" customHeight="true" outlineLevel="0" collapsed="false">
      <c r="A14" s="5" t="s">
        <v>184</v>
      </c>
      <c r="B14" s="7" t="n">
        <v>27</v>
      </c>
      <c r="C14" s="7" t="n">
        <v>18</v>
      </c>
      <c r="D14" s="7" t="n">
        <f aca="false">ROUND(B14/C14,2)</f>
        <v>1.5</v>
      </c>
    </row>
    <row r="15" customFormat="false" ht="15" hidden="false" customHeight="true" outlineLevel="0" collapsed="false">
      <c r="A15" s="5" t="s">
        <v>185</v>
      </c>
      <c r="B15" s="7" t="n">
        <v>25</v>
      </c>
      <c r="C15" s="7" t="n">
        <v>37</v>
      </c>
      <c r="D15" s="7" t="n">
        <f aca="false">ROUND(B15/C15,2)</f>
        <v>0.68</v>
      </c>
    </row>
    <row r="16" customFormat="false" ht="15" hidden="false" customHeight="true" outlineLevel="0" collapsed="false">
      <c r="A16" s="5" t="s">
        <v>189</v>
      </c>
      <c r="B16" s="7" t="n">
        <v>23</v>
      </c>
      <c r="C16" s="7" t="n">
        <v>14</v>
      </c>
      <c r="D16" s="7" t="n">
        <f aca="false">ROUND(B16/C16,2)</f>
        <v>1.64</v>
      </c>
    </row>
    <row r="17" customFormat="false" ht="15" hidden="false" customHeight="true" outlineLevel="0" collapsed="false">
      <c r="A17" s="5" t="s">
        <v>190</v>
      </c>
      <c r="B17" s="7" t="n">
        <v>20</v>
      </c>
      <c r="C17" s="7" t="n">
        <v>34</v>
      </c>
      <c r="D17" s="7" t="n">
        <f aca="false">ROUND(B17/C17,2)</f>
        <v>0.59</v>
      </c>
    </row>
    <row r="18" customFormat="false" ht="15" hidden="false" customHeight="true" outlineLevel="0" collapsed="false">
      <c r="A18" s="5" t="s">
        <v>191</v>
      </c>
      <c r="B18" s="7" t="n">
        <v>20</v>
      </c>
      <c r="C18" s="7" t="n">
        <v>13</v>
      </c>
      <c r="D18" s="7" t="n">
        <f aca="false">ROUND(B18/C18,2)</f>
        <v>1.54</v>
      </c>
    </row>
    <row r="20" customFormat="false" ht="30" hidden="false" customHeight="true" outlineLevel="0" collapsed="false">
      <c r="A20" s="17" t="s">
        <v>192</v>
      </c>
      <c r="B20" s="17"/>
      <c r="C20" s="17"/>
      <c r="D20" s="17"/>
    </row>
  </sheetData>
  <mergeCells count="1">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2"/>
  </cols>
  <sheetData>
    <row r="1" customFormat="false" ht="17.25" hidden="false" customHeight="true" outlineLevel="0" collapsed="false">
      <c r="A1" s="2" t="s">
        <v>193</v>
      </c>
    </row>
    <row r="2" customFormat="false" ht="15" hidden="false" customHeight="true" outlineLevel="0" collapsed="false">
      <c r="A2" s="3" t="s">
        <v>194</v>
      </c>
    </row>
    <row r="4" customFormat="false" ht="15" hidden="false" customHeight="true" outlineLevel="0" collapsed="false">
      <c r="A4" s="14" t="s">
        <v>195</v>
      </c>
    </row>
    <row r="5" customFormat="false" ht="15" hidden="false" customHeight="true" outlineLevel="0" collapsed="false">
      <c r="A5" s="4" t="s">
        <v>102</v>
      </c>
      <c r="B5" s="4" t="s">
        <v>135</v>
      </c>
      <c r="C5" s="4" t="s">
        <v>136</v>
      </c>
    </row>
    <row r="6" customFormat="false" ht="15" hidden="false" customHeight="true" outlineLevel="0" collapsed="false">
      <c r="A6" s="5" t="s">
        <v>141</v>
      </c>
      <c r="B6" s="6" t="n">
        <v>1</v>
      </c>
      <c r="C6" s="7" t="n">
        <v>0</v>
      </c>
    </row>
    <row r="7" customFormat="false" ht="15" hidden="false" customHeight="true" outlineLevel="0" collapsed="false">
      <c r="A7" s="5" t="s">
        <v>124</v>
      </c>
      <c r="B7" s="6" t="n">
        <v>2</v>
      </c>
      <c r="C7" s="7" t="n">
        <v>0</v>
      </c>
    </row>
    <row r="8" customFormat="false" ht="15" hidden="false" customHeight="true" outlineLevel="0" collapsed="false">
      <c r="A8" s="5" t="s">
        <v>196</v>
      </c>
      <c r="B8" s="6" t="n">
        <v>0</v>
      </c>
      <c r="C8" s="7" t="n">
        <v>1</v>
      </c>
    </row>
    <row r="9" customFormat="false" ht="15" hidden="false" customHeight="true" outlineLevel="0" collapsed="false">
      <c r="A9" s="5" t="s">
        <v>197</v>
      </c>
      <c r="B9" s="6" t="n">
        <v>1</v>
      </c>
      <c r="C9" s="7" t="n">
        <v>0</v>
      </c>
    </row>
    <row r="10" customFormat="false" ht="15" hidden="false" customHeight="true" outlineLevel="0" collapsed="false">
      <c r="A10" s="5" t="s">
        <v>198</v>
      </c>
      <c r="B10" s="6" t="n">
        <v>0</v>
      </c>
      <c r="C10" s="7" t="n">
        <v>2</v>
      </c>
    </row>
    <row r="11" customFormat="false" ht="15" hidden="false" customHeight="true" outlineLevel="0" collapsed="false">
      <c r="A11" s="5" t="s">
        <v>199</v>
      </c>
      <c r="B11" s="6" t="n">
        <v>1</v>
      </c>
      <c r="C11" s="7" t="n">
        <v>0</v>
      </c>
    </row>
    <row r="12" customFormat="false" ht="15" hidden="false" customHeight="true" outlineLevel="0" collapsed="false">
      <c r="A12" s="16" t="s">
        <v>200</v>
      </c>
      <c r="B12" s="16" t="n">
        <f aca="false">SUM(B6:B11)</f>
        <v>5</v>
      </c>
      <c r="C12" s="16" t="n">
        <f aca="false">SUM(C6:C11)</f>
        <v>3</v>
      </c>
    </row>
    <row r="14" customFormat="false" ht="15" hidden="false" customHeight="true" outlineLevel="0" collapsed="false">
      <c r="A14" s="14" t="s">
        <v>201</v>
      </c>
    </row>
    <row r="15" customFormat="false" ht="15" hidden="false" customHeight="true" outlineLevel="0" collapsed="false">
      <c r="A15" s="4" t="s">
        <v>102</v>
      </c>
      <c r="B15" s="4" t="s">
        <v>135</v>
      </c>
      <c r="C15" s="4" t="s">
        <v>136</v>
      </c>
    </row>
    <row r="16" customFormat="false" ht="15" hidden="false" customHeight="true" outlineLevel="0" collapsed="false">
      <c r="A16" s="5" t="s">
        <v>105</v>
      </c>
      <c r="B16" s="6" t="n">
        <v>4</v>
      </c>
      <c r="C16" s="7" t="n">
        <v>5</v>
      </c>
    </row>
    <row r="17" customFormat="false" ht="15" hidden="false" customHeight="true" outlineLevel="0" collapsed="false">
      <c r="A17" s="5" t="s">
        <v>202</v>
      </c>
      <c r="B17" s="6" t="n">
        <v>3</v>
      </c>
      <c r="C17" s="7" t="n">
        <v>4</v>
      </c>
    </row>
    <row r="18" customFormat="false" ht="15" hidden="false" customHeight="true" outlineLevel="0" collapsed="false">
      <c r="A18" s="5" t="s">
        <v>203</v>
      </c>
      <c r="B18" s="6" t="n">
        <v>3</v>
      </c>
      <c r="C18" s="7" t="n">
        <v>2</v>
      </c>
    </row>
    <row r="19" customFormat="false" ht="15" hidden="false" customHeight="true" outlineLevel="0" collapsed="false">
      <c r="A19" s="5" t="s">
        <v>204</v>
      </c>
      <c r="B19" s="6" t="n">
        <v>0</v>
      </c>
      <c r="C19" s="7" t="n">
        <v>1</v>
      </c>
    </row>
    <row r="20" customFormat="false" ht="15" hidden="false" customHeight="true" outlineLevel="0" collapsed="false">
      <c r="A20" s="16" t="s">
        <v>205</v>
      </c>
      <c r="B20" s="16" t="n">
        <f aca="false">SUM(B16:B19)</f>
        <v>10</v>
      </c>
      <c r="C20" s="16" t="n">
        <f aca="false">SUM(C16:C19)</f>
        <v>12</v>
      </c>
    </row>
    <row r="22" customFormat="false" ht="15" hidden="false" customHeight="true" outlineLevel="0" collapsed="false">
      <c r="A22" s="14" t="s">
        <v>206</v>
      </c>
    </row>
    <row r="23" customFormat="false" ht="15" hidden="false" customHeight="true" outlineLevel="0" collapsed="false">
      <c r="A23" s="4" t="s">
        <v>102</v>
      </c>
      <c r="B23" s="4" t="s">
        <v>135</v>
      </c>
      <c r="C23" s="4" t="s">
        <v>136</v>
      </c>
    </row>
    <row r="24" customFormat="false" ht="15" hidden="false" customHeight="true" outlineLevel="0" collapsed="false">
      <c r="A24" s="5" t="s">
        <v>104</v>
      </c>
      <c r="B24" s="6" t="n">
        <v>10</v>
      </c>
      <c r="C24" s="7" t="n">
        <v>2</v>
      </c>
    </row>
    <row r="25" customFormat="false" ht="15" hidden="false" customHeight="true" outlineLevel="0" collapsed="false">
      <c r="A25" s="5" t="s">
        <v>111</v>
      </c>
      <c r="B25" s="6" t="n">
        <v>0</v>
      </c>
      <c r="C25" s="7" t="n">
        <v>3</v>
      </c>
    </row>
    <row r="26" customFormat="false" ht="15" hidden="false" customHeight="true" outlineLevel="0" collapsed="false">
      <c r="A26" s="5" t="s">
        <v>112</v>
      </c>
      <c r="B26" s="6" t="n">
        <v>0</v>
      </c>
      <c r="C26" s="7" t="n">
        <v>2</v>
      </c>
    </row>
    <row r="27" customFormat="false" ht="15" hidden="false" customHeight="true" outlineLevel="0" collapsed="false">
      <c r="A27" s="5" t="s">
        <v>108</v>
      </c>
      <c r="B27" s="6" t="n">
        <v>2</v>
      </c>
      <c r="C27" s="7" t="n">
        <v>0</v>
      </c>
    </row>
    <row r="28" customFormat="false" ht="15" hidden="false" customHeight="true" outlineLevel="0" collapsed="false">
      <c r="A28" s="5" t="s">
        <v>207</v>
      </c>
      <c r="B28" s="6" t="n">
        <v>1</v>
      </c>
      <c r="C28" s="7" t="n">
        <v>0</v>
      </c>
    </row>
    <row r="29" customFormat="false" ht="15" hidden="false" customHeight="true" outlineLevel="0" collapsed="false">
      <c r="A29" s="5" t="s">
        <v>208</v>
      </c>
      <c r="B29" s="6" t="n">
        <v>1</v>
      </c>
      <c r="C29" s="7" t="n">
        <v>0</v>
      </c>
    </row>
    <row r="30" customFormat="false" ht="15" hidden="false" customHeight="true" outlineLevel="0" collapsed="false">
      <c r="A30" s="16" t="s">
        <v>209</v>
      </c>
      <c r="B30" s="16" t="n">
        <f aca="false">SUM(B24:B29)</f>
        <v>14</v>
      </c>
      <c r="C30" s="16" t="n">
        <f aca="false">SUM(C24:C29)</f>
        <v>7</v>
      </c>
    </row>
    <row r="32" customFormat="false" ht="15" hidden="false" customHeight="true" outlineLevel="0" collapsed="false">
      <c r="A32" s="14" t="s">
        <v>210</v>
      </c>
    </row>
    <row r="33" customFormat="false" ht="15" hidden="false" customHeight="true" outlineLevel="0" collapsed="false">
      <c r="A33" s="4" t="s">
        <v>102</v>
      </c>
      <c r="B33" s="4" t="s">
        <v>135</v>
      </c>
      <c r="C33" s="4" t="s">
        <v>136</v>
      </c>
    </row>
    <row r="34" customFormat="false" ht="15" hidden="false" customHeight="true" outlineLevel="0" collapsed="false">
      <c r="A34" s="5" t="s">
        <v>106</v>
      </c>
      <c r="B34" s="6" t="n">
        <v>7</v>
      </c>
      <c r="C34" s="7" t="n">
        <v>2</v>
      </c>
    </row>
    <row r="35" customFormat="false" ht="15" hidden="false" customHeight="true" outlineLevel="0" collapsed="false">
      <c r="A35" s="5" t="s">
        <v>164</v>
      </c>
      <c r="B35" s="6" t="n">
        <v>8</v>
      </c>
      <c r="C35" s="7" t="n">
        <v>2</v>
      </c>
    </row>
    <row r="36" customFormat="false" ht="15" hidden="false" customHeight="true" outlineLevel="0" collapsed="false">
      <c r="A36" s="5" t="s">
        <v>211</v>
      </c>
      <c r="B36" s="6" t="n">
        <v>1</v>
      </c>
      <c r="C36" s="7" t="n">
        <v>0</v>
      </c>
    </row>
    <row r="37" customFormat="false" ht="15" hidden="false" customHeight="true" outlineLevel="0" collapsed="false">
      <c r="A37" s="5" t="s">
        <v>212</v>
      </c>
      <c r="B37" s="6" t="n">
        <v>1</v>
      </c>
      <c r="C37" s="7" t="n">
        <v>0</v>
      </c>
    </row>
    <row r="38" customFormat="false" ht="15" hidden="false" customHeight="true" outlineLevel="0" collapsed="false">
      <c r="A38" s="5" t="s">
        <v>213</v>
      </c>
      <c r="B38" s="6" t="n">
        <v>0</v>
      </c>
      <c r="C38" s="7" t="n">
        <v>1</v>
      </c>
    </row>
    <row r="39" customFormat="false" ht="15" hidden="false" customHeight="true" outlineLevel="0" collapsed="false">
      <c r="A39" s="5" t="s">
        <v>214</v>
      </c>
      <c r="B39" s="6" t="n">
        <v>0</v>
      </c>
      <c r="C39" s="7" t="n">
        <v>2</v>
      </c>
    </row>
    <row r="40" customFormat="false" ht="15" hidden="false" customHeight="true" outlineLevel="0" collapsed="false">
      <c r="A40" s="5" t="s">
        <v>215</v>
      </c>
      <c r="B40" s="6" t="n">
        <v>0</v>
      </c>
      <c r="C40" s="7" t="n">
        <v>1</v>
      </c>
    </row>
    <row r="41" customFormat="false" ht="15" hidden="false" customHeight="true" outlineLevel="0" collapsed="false">
      <c r="A41" s="5" t="s">
        <v>216</v>
      </c>
      <c r="B41" s="6" t="n">
        <v>0</v>
      </c>
      <c r="C41" s="7" t="n">
        <v>1</v>
      </c>
    </row>
    <row r="42" customFormat="false" ht="15" hidden="false" customHeight="true" outlineLevel="0" collapsed="false">
      <c r="A42" s="5" t="s">
        <v>217</v>
      </c>
      <c r="B42" s="6" t="n">
        <v>0</v>
      </c>
      <c r="C42" s="7" t="n">
        <v>2</v>
      </c>
    </row>
    <row r="43" customFormat="false" ht="15" hidden="false" customHeight="true" outlineLevel="0" collapsed="false">
      <c r="A43" s="16" t="s">
        <v>218</v>
      </c>
      <c r="B43" s="16" t="n">
        <f aca="false">SUM(B34:B42)</f>
        <v>17</v>
      </c>
      <c r="C43" s="16" t="n">
        <f aca="false">SUM(C34:C42)</f>
        <v>11</v>
      </c>
    </row>
    <row r="45" customFormat="false" ht="15" hidden="false" customHeight="true" outlineLevel="0" collapsed="false">
      <c r="A45" s="23" t="s">
        <v>219</v>
      </c>
      <c r="B45" s="23" t="n">
        <f aca="false">B12+B20+B30+B43</f>
        <v>46</v>
      </c>
      <c r="C45" s="23" t="n">
        <f aca="false">C12+C20+C30+C43</f>
        <v>33</v>
      </c>
    </row>
    <row r="48" customFormat="false" ht="15" hidden="false" customHeight="true" outlineLevel="0" collapsed="false">
      <c r="A48" s="14" t="s">
        <v>220</v>
      </c>
    </row>
    <row r="49" customFormat="false" ht="15" hidden="false" customHeight="true" outlineLevel="0" collapsed="false">
      <c r="A49" s="4" t="s">
        <v>102</v>
      </c>
      <c r="B49" s="4" t="s">
        <v>135</v>
      </c>
      <c r="C49" s="4" t="s">
        <v>136</v>
      </c>
    </row>
    <row r="50" customFormat="false" ht="15" hidden="false" customHeight="true" outlineLevel="0" collapsed="false">
      <c r="A50" s="5" t="s">
        <v>221</v>
      </c>
      <c r="B50" s="6" t="n">
        <v>8</v>
      </c>
      <c r="C50" s="7" t="n">
        <v>5</v>
      </c>
    </row>
    <row r="51" customFormat="false" ht="15" hidden="false" customHeight="true" outlineLevel="0" collapsed="false">
      <c r="A51" s="5" t="s">
        <v>222</v>
      </c>
      <c r="B51" s="6" t="n">
        <v>6</v>
      </c>
      <c r="C51" s="7" t="n">
        <v>4</v>
      </c>
    </row>
    <row r="52" customFormat="false" ht="15" hidden="false" customHeight="true" outlineLevel="0" collapsed="false">
      <c r="A52" s="5" t="s">
        <v>223</v>
      </c>
      <c r="B52" s="6" t="n">
        <v>4</v>
      </c>
      <c r="C52" s="7" t="n">
        <v>3</v>
      </c>
    </row>
    <row r="53" customFormat="false" ht="15" hidden="false" customHeight="true" outlineLevel="0" collapsed="false">
      <c r="A53" s="5" t="s">
        <v>224</v>
      </c>
      <c r="B53" s="6" t="n">
        <v>6</v>
      </c>
      <c r="C53" s="7" t="n">
        <v>7</v>
      </c>
    </row>
    <row r="54" customFormat="false" ht="15" hidden="false" customHeight="true" outlineLevel="0" collapsed="false">
      <c r="A54" s="5" t="s">
        <v>225</v>
      </c>
      <c r="B54" s="6" t="n">
        <v>2</v>
      </c>
      <c r="C54" s="7" t="n">
        <v>0</v>
      </c>
    </row>
    <row r="55" customFormat="false" ht="15" hidden="false" customHeight="true" outlineLevel="0" collapsed="false">
      <c r="A55" s="16" t="s">
        <v>226</v>
      </c>
      <c r="B55" s="16" t="n">
        <f aca="false">SUM(B50:B54)</f>
        <v>26</v>
      </c>
      <c r="C55" s="16" t="n">
        <f aca="false">SUM(C50:C54)</f>
        <v>19</v>
      </c>
    </row>
    <row r="57" customFormat="false" ht="15" hidden="false" customHeight="true" outlineLevel="0" collapsed="false">
      <c r="A57" s="23" t="s">
        <v>227</v>
      </c>
      <c r="B57" s="23" t="n">
        <f aca="false">B45+B55</f>
        <v>72</v>
      </c>
      <c r="C57" s="23" t="n">
        <f aca="false">C45+C55</f>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2"/>
  </cols>
  <sheetData>
    <row r="1" customFormat="false" ht="17.25" hidden="false" customHeight="true" outlineLevel="0" collapsed="false">
      <c r="A1" s="2" t="s">
        <v>228</v>
      </c>
    </row>
    <row r="2" customFormat="false" ht="15" hidden="false" customHeight="true" outlineLevel="0" collapsed="false">
      <c r="A2" s="3" t="s">
        <v>229</v>
      </c>
    </row>
    <row r="4" customFormat="false" ht="15" hidden="false" customHeight="true" outlineLevel="0" collapsed="false">
      <c r="A4" s="14" t="s">
        <v>230</v>
      </c>
    </row>
    <row r="5" customFormat="false" ht="15" hidden="false" customHeight="true" outlineLevel="0" collapsed="false">
      <c r="A5" s="4" t="s">
        <v>2</v>
      </c>
      <c r="B5" s="4" t="s">
        <v>135</v>
      </c>
      <c r="C5" s="4" t="s">
        <v>136</v>
      </c>
    </row>
    <row r="6" customFormat="false" ht="15" hidden="false" customHeight="true" outlineLevel="0" collapsed="false">
      <c r="A6" s="5" t="s">
        <v>231</v>
      </c>
      <c r="B6" s="6" t="n">
        <v>3708</v>
      </c>
      <c r="C6" s="7" t="n">
        <v>4610</v>
      </c>
    </row>
    <row r="7" customFormat="false" ht="15" hidden="false" customHeight="true" outlineLevel="0" collapsed="false">
      <c r="A7" s="5" t="s">
        <v>232</v>
      </c>
      <c r="B7" s="6" t="n">
        <v>1876</v>
      </c>
      <c r="C7" s="7" t="n">
        <v>2017</v>
      </c>
    </row>
    <row r="8" customFormat="false" ht="15" hidden="false" customHeight="true" outlineLevel="0" collapsed="false">
      <c r="A8" s="5" t="s">
        <v>233</v>
      </c>
      <c r="B8" s="6" t="n">
        <f aca="false">ROUND(B7/B6*100,1)</f>
        <v>50.6</v>
      </c>
      <c r="C8" s="7" t="n">
        <f aca="false">ROUND(C7/C6*100,1)</f>
        <v>43.8</v>
      </c>
    </row>
    <row r="10" customFormat="false" ht="15" hidden="false" customHeight="true" outlineLevel="0" collapsed="false">
      <c r="A10" s="14" t="s">
        <v>234</v>
      </c>
    </row>
    <row r="11" customFormat="false" ht="15" hidden="false" customHeight="true" outlineLevel="0" collapsed="false">
      <c r="A11" s="4" t="s">
        <v>2</v>
      </c>
      <c r="B11" s="4" t="s">
        <v>135</v>
      </c>
      <c r="C11" s="4" t="s">
        <v>136</v>
      </c>
    </row>
    <row r="12" customFormat="false" ht="15" hidden="false" customHeight="true" outlineLevel="0" collapsed="false">
      <c r="A12" s="5" t="s">
        <v>235</v>
      </c>
      <c r="B12" s="6" t="n">
        <v>3032</v>
      </c>
      <c r="C12" s="7" t="n">
        <v>1650</v>
      </c>
    </row>
    <row r="13" customFormat="false" ht="15" hidden="false" customHeight="true" outlineLevel="0" collapsed="false">
      <c r="A13" s="5" t="s">
        <v>236</v>
      </c>
      <c r="B13" s="6" t="n">
        <v>1943</v>
      </c>
      <c r="C13" s="7" t="n">
        <v>577</v>
      </c>
    </row>
    <row r="14" customFormat="false" ht="15" hidden="false" customHeight="true" outlineLevel="0" collapsed="false">
      <c r="A14" s="5" t="s">
        <v>237</v>
      </c>
      <c r="B14" s="6" t="n">
        <v>1.83</v>
      </c>
      <c r="C14" s="7" t="n">
        <v>0.48</v>
      </c>
    </row>
    <row r="16" customFormat="false" ht="15" hidden="false" customHeight="true" outlineLevel="0" collapsed="false">
      <c r="A16" s="14" t="s">
        <v>238</v>
      </c>
    </row>
    <row r="17" customFormat="false" ht="15" hidden="false" customHeight="true" outlineLevel="0" collapsed="false">
      <c r="A17" s="4" t="s">
        <v>2</v>
      </c>
      <c r="B17" s="4" t="s">
        <v>135</v>
      </c>
      <c r="C17" s="4" t="s">
        <v>136</v>
      </c>
    </row>
    <row r="18" customFormat="false" ht="15" hidden="false" customHeight="true" outlineLevel="0" collapsed="false">
      <c r="A18" s="5" t="s">
        <v>239</v>
      </c>
      <c r="B18" s="6" t="n">
        <v>1450</v>
      </c>
      <c r="C18" s="7" t="n">
        <v>950</v>
      </c>
    </row>
    <row r="19" customFormat="false" ht="15" hidden="false" customHeight="true" outlineLevel="0" collapsed="false">
      <c r="A19" s="5" t="s">
        <v>240</v>
      </c>
      <c r="B19" s="6" t="n">
        <v>2057</v>
      </c>
      <c r="C19" s="7" t="n">
        <v>1220</v>
      </c>
    </row>
    <row r="20" customFormat="false" ht="15" hidden="false" customHeight="true" outlineLevel="0" collapsed="false">
      <c r="A20" s="5" t="s">
        <v>241</v>
      </c>
      <c r="B20" s="6" t="n">
        <v>1.93</v>
      </c>
      <c r="C20" s="7" t="n">
        <v>1.02</v>
      </c>
    </row>
    <row r="22" customFormat="false" ht="15" hidden="false" customHeight="true" outlineLevel="0" collapsed="false">
      <c r="A22" s="14" t="s">
        <v>242</v>
      </c>
    </row>
    <row r="23" customFormat="false" ht="15" hidden="false" customHeight="true" outlineLevel="0" collapsed="false">
      <c r="A23" s="4" t="s">
        <v>2</v>
      </c>
      <c r="B23" s="4" t="s">
        <v>135</v>
      </c>
      <c r="C23" s="4" t="s">
        <v>136</v>
      </c>
    </row>
    <row r="24" customFormat="false" ht="15" hidden="false" customHeight="true" outlineLevel="0" collapsed="false">
      <c r="A24" s="5" t="s">
        <v>243</v>
      </c>
      <c r="B24" s="6" t="n">
        <v>951</v>
      </c>
      <c r="C24" s="7" t="n">
        <v>1002</v>
      </c>
    </row>
    <row r="25" customFormat="false" ht="15" hidden="false" customHeight="true" outlineLevel="0" collapsed="false">
      <c r="A25" s="5" t="s">
        <v>244</v>
      </c>
      <c r="B25" s="6" t="n">
        <v>711</v>
      </c>
      <c r="C25" s="7" t="n">
        <v>178</v>
      </c>
    </row>
    <row r="26" customFormat="false" ht="15" hidden="false" customHeight="true" outlineLevel="0" collapsed="false">
      <c r="A26" s="5" t="s">
        <v>245</v>
      </c>
      <c r="B26" s="6" t="n">
        <v>109</v>
      </c>
      <c r="C26" s="7" t="n">
        <v>605</v>
      </c>
    </row>
    <row r="27" customFormat="false" ht="15" hidden="false" customHeight="true" outlineLevel="0" collapsed="false">
      <c r="A27" s="5" t="s">
        <v>246</v>
      </c>
      <c r="B27" s="6" t="n">
        <v>26</v>
      </c>
      <c r="C27" s="7" t="n">
        <v>151</v>
      </c>
    </row>
    <row r="28" customFormat="false" ht="15" hidden="false" customHeight="true" outlineLevel="0" collapsed="false">
      <c r="A28" s="5" t="s">
        <v>247</v>
      </c>
      <c r="B28" s="6" t="n">
        <v>105</v>
      </c>
      <c r="C28" s="7" t="n">
        <v>68</v>
      </c>
    </row>
    <row r="29" customFormat="false" ht="15" hidden="false" customHeight="true" outlineLevel="0" collapsed="false">
      <c r="A29" s="5" t="s">
        <v>248</v>
      </c>
      <c r="B29" s="6" t="n">
        <v>109</v>
      </c>
      <c r="C29" s="7" t="n">
        <v>164</v>
      </c>
    </row>
    <row r="30" customFormat="false" ht="15" hidden="false" customHeight="true" outlineLevel="0" collapsed="false">
      <c r="A30" s="5" t="s">
        <v>28</v>
      </c>
      <c r="B30" s="6" t="n">
        <v>65</v>
      </c>
      <c r="C30" s="7" t="n">
        <v>63</v>
      </c>
    </row>
    <row r="31" customFormat="false" ht="15" hidden="false" customHeight="true" outlineLevel="0" collapsed="false">
      <c r="A31" s="5" t="s">
        <v>249</v>
      </c>
      <c r="B31" s="6" t="n">
        <v>740</v>
      </c>
      <c r="C31" s="7" t="n">
        <v>765</v>
      </c>
    </row>
    <row r="33" customFormat="false" ht="30" hidden="false" customHeight="true" outlineLevel="0" collapsed="false">
      <c r="A33" s="17" t="s">
        <v>250</v>
      </c>
      <c r="B33" s="17"/>
      <c r="C33" s="17"/>
    </row>
  </sheetData>
  <mergeCells count="1">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2"/>
  </cols>
  <sheetData>
    <row r="1" customFormat="false" ht="17.25" hidden="false" customHeight="true" outlineLevel="0" collapsed="false">
      <c r="A1" s="2" t="s">
        <v>251</v>
      </c>
    </row>
    <row r="2" customFormat="false" ht="15" hidden="false" customHeight="true" outlineLevel="0" collapsed="false">
      <c r="A2" s="3" t="s">
        <v>252</v>
      </c>
    </row>
    <row r="4" customFormat="false" ht="15" hidden="false" customHeight="true" outlineLevel="0" collapsed="false">
      <c r="A4" s="14" t="s">
        <v>253</v>
      </c>
    </row>
    <row r="5" customFormat="false" ht="15" hidden="false" customHeight="true" outlineLevel="0" collapsed="false">
      <c r="A5" s="4"/>
      <c r="B5" s="4" t="s">
        <v>254</v>
      </c>
    </row>
    <row r="6" customFormat="false" ht="15" hidden="false" customHeight="true" outlineLevel="0" collapsed="false">
      <c r="A6" s="5" t="s">
        <v>255</v>
      </c>
      <c r="B6" s="5" t="n">
        <v>15</v>
      </c>
    </row>
    <row r="7" customFormat="false" ht="15" hidden="false" customHeight="true" outlineLevel="0" collapsed="false">
      <c r="A7" s="5" t="s">
        <v>256</v>
      </c>
      <c r="B7" s="5" t="n">
        <v>10</v>
      </c>
    </row>
    <row r="8" customFormat="false" ht="15" hidden="false" customHeight="true" outlineLevel="0" collapsed="false">
      <c r="A8" s="5" t="s">
        <v>257</v>
      </c>
      <c r="B8" s="5" t="n">
        <v>0</v>
      </c>
    </row>
    <row r="9" customFormat="false" ht="15" hidden="false" customHeight="true" outlineLevel="0" collapsed="false">
      <c r="A9" s="16" t="s">
        <v>258</v>
      </c>
      <c r="B9" s="16" t="n">
        <f aca="false">SUM(B6:B8)</f>
        <v>25</v>
      </c>
    </row>
    <row r="11" customFormat="false" ht="15" hidden="false" customHeight="true" outlineLevel="0" collapsed="false">
      <c r="A11" s="18" t="s">
        <v>259</v>
      </c>
    </row>
    <row r="12" customFormat="false" ht="15" hidden="false" customHeight="true" outlineLevel="0" collapsed="false">
      <c r="A12" s="4" t="s">
        <v>260</v>
      </c>
      <c r="B12" s="4" t="s">
        <v>135</v>
      </c>
      <c r="C12" s="4" t="s">
        <v>136</v>
      </c>
    </row>
    <row r="13" customFormat="false" ht="15" hidden="false" customHeight="true" outlineLevel="0" collapsed="false">
      <c r="A13" s="5" t="s">
        <v>261</v>
      </c>
      <c r="B13" s="6" t="n">
        <v>422</v>
      </c>
      <c r="C13" s="5" t="n">
        <v>260</v>
      </c>
    </row>
    <row r="14" customFormat="false" ht="15" hidden="false" customHeight="true" outlineLevel="0" collapsed="false">
      <c r="A14" s="5" t="s">
        <v>10</v>
      </c>
      <c r="B14" s="6" t="n">
        <v>0.79</v>
      </c>
      <c r="C14" s="5" t="n">
        <v>0.73</v>
      </c>
    </row>
    <row r="15" customFormat="false" ht="15" hidden="false" customHeight="true" outlineLevel="0" collapsed="false">
      <c r="A15" s="5" t="s">
        <v>262</v>
      </c>
      <c r="B15" s="6" t="n">
        <v>21</v>
      </c>
      <c r="C15" s="5" t="n">
        <v>11</v>
      </c>
    </row>
    <row r="16" customFormat="false" ht="15" hidden="false" customHeight="true" outlineLevel="0" collapsed="false">
      <c r="A16" s="5" t="s">
        <v>19</v>
      </c>
      <c r="B16" s="6" t="n">
        <v>8</v>
      </c>
      <c r="C16" s="5" t="n">
        <v>5</v>
      </c>
    </row>
    <row r="17" customFormat="false" ht="15" hidden="false" customHeight="true" outlineLevel="0" collapsed="false">
      <c r="A17" s="5" t="s">
        <v>29</v>
      </c>
      <c r="B17" s="6" t="n">
        <v>451</v>
      </c>
      <c r="C17" s="5" t="n">
        <v>246</v>
      </c>
    </row>
    <row r="19" customFormat="false" ht="15" hidden="false" customHeight="true" outlineLevel="0" collapsed="false">
      <c r="A19" s="19" t="s">
        <v>263</v>
      </c>
    </row>
    <row r="20" customFormat="false" ht="15" hidden="false" customHeight="true" outlineLevel="0" collapsed="false">
      <c r="A20" s="4" t="s">
        <v>260</v>
      </c>
      <c r="B20" s="4" t="s">
        <v>135</v>
      </c>
      <c r="C20" s="4" t="s">
        <v>136</v>
      </c>
    </row>
    <row r="21" customFormat="false" ht="15" hidden="false" customHeight="true" outlineLevel="0" collapsed="false">
      <c r="A21" s="5" t="s">
        <v>264</v>
      </c>
      <c r="B21" s="5" t="n">
        <v>976</v>
      </c>
      <c r="C21" s="7" t="n">
        <v>919</v>
      </c>
    </row>
    <row r="22" customFormat="false" ht="15" hidden="false" customHeight="true" outlineLevel="0" collapsed="false">
      <c r="A22" s="5" t="s">
        <v>265</v>
      </c>
      <c r="B22" s="5" t="n">
        <v>129</v>
      </c>
      <c r="C22" s="7" t="n">
        <v>140</v>
      </c>
    </row>
    <row r="23" customFormat="false" ht="15" hidden="false" customHeight="true" outlineLevel="0" collapsed="false">
      <c r="A23" s="5" t="s">
        <v>266</v>
      </c>
      <c r="B23" s="5" t="n">
        <v>125</v>
      </c>
      <c r="C23" s="7" t="n">
        <v>146</v>
      </c>
    </row>
    <row r="24" customFormat="false" ht="15" hidden="false" customHeight="true" outlineLevel="0" collapsed="false">
      <c r="A24" s="5" t="s">
        <v>267</v>
      </c>
      <c r="B24" s="5" t="n">
        <v>354</v>
      </c>
      <c r="C24" s="7" t="n">
        <v>513</v>
      </c>
    </row>
    <row r="25" customFormat="false" ht="15" hidden="false" customHeight="true" outlineLevel="0" collapsed="false">
      <c r="A25" s="5" t="s">
        <v>268</v>
      </c>
      <c r="B25" s="5" t="n">
        <v>26</v>
      </c>
      <c r="C25" s="7" t="n">
        <v>151</v>
      </c>
    </row>
    <row r="27" customFormat="false" ht="30" hidden="false" customHeight="true" outlineLevel="0" collapsed="false">
      <c r="A27" s="17" t="s">
        <v>269</v>
      </c>
      <c r="B27" s="17"/>
      <c r="C27" s="17"/>
    </row>
  </sheetData>
  <mergeCells count="1">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0"/>
    <col collapsed="false" customWidth="true" hidden="false" outlineLevel="0" max="3" min="3" style="1" width="12"/>
  </cols>
  <sheetData>
    <row r="1" customFormat="false" ht="17.25" hidden="false" customHeight="true" outlineLevel="0" collapsed="false">
      <c r="A1" s="2" t="s">
        <v>270</v>
      </c>
    </row>
    <row r="4" customFormat="false" ht="15" hidden="false" customHeight="true" outlineLevel="0" collapsed="false">
      <c r="A4" s="14" t="s">
        <v>271</v>
      </c>
    </row>
    <row r="5" customFormat="false" ht="15" hidden="false" customHeight="true" outlineLevel="0" collapsed="false">
      <c r="A5" s="4"/>
      <c r="B5" s="4" t="s">
        <v>3</v>
      </c>
      <c r="C5" s="4" t="s">
        <v>4</v>
      </c>
    </row>
    <row r="6" customFormat="false" ht="15" hidden="false" customHeight="true" outlineLevel="0" collapsed="false">
      <c r="A6" s="5" t="s">
        <v>272</v>
      </c>
      <c r="B6" s="6" t="s">
        <v>273</v>
      </c>
      <c r="C6" s="7" t="s">
        <v>274</v>
      </c>
    </row>
    <row r="7" customFormat="false" ht="15" hidden="false" customHeight="true" outlineLevel="0" collapsed="false">
      <c r="A7" s="5" t="s">
        <v>275</v>
      </c>
      <c r="B7" s="6" t="s">
        <v>91</v>
      </c>
      <c r="C7" s="7" t="s">
        <v>97</v>
      </c>
    </row>
    <row r="8" customFormat="false" ht="15" hidden="false" customHeight="true" outlineLevel="0" collapsed="false">
      <c r="A8" s="5" t="s">
        <v>276</v>
      </c>
      <c r="B8" s="6" t="n">
        <v>10</v>
      </c>
      <c r="C8" s="7" t="n">
        <v>7</v>
      </c>
    </row>
    <row r="9" customFormat="false" ht="15" hidden="false" customHeight="true" outlineLevel="0" collapsed="false">
      <c r="A9" s="5" t="s">
        <v>277</v>
      </c>
      <c r="B9" s="6" t="s">
        <v>278</v>
      </c>
      <c r="C9" s="7" t="s">
        <v>279</v>
      </c>
    </row>
    <row r="10" customFormat="false" ht="15" hidden="false" customHeight="true" outlineLevel="0" collapsed="false">
      <c r="A10" s="5" t="s">
        <v>280</v>
      </c>
      <c r="B10" s="6" t="n">
        <v>8</v>
      </c>
      <c r="C10" s="7" t="n">
        <v>5</v>
      </c>
    </row>
    <row r="12" customFormat="false" ht="15" hidden="false" customHeight="true" outlineLevel="0" collapsed="false">
      <c r="A12" s="14" t="s">
        <v>281</v>
      </c>
    </row>
    <row r="13" customFormat="false" ht="15" hidden="false" customHeight="true" outlineLevel="0" collapsed="false">
      <c r="A13" s="4" t="s">
        <v>282</v>
      </c>
      <c r="B13" s="4" t="s">
        <v>283</v>
      </c>
      <c r="C13" s="4" t="s">
        <v>146</v>
      </c>
    </row>
    <row r="14" customFormat="false" ht="15" hidden="false" customHeight="true" outlineLevel="0" collapsed="false">
      <c r="A14" s="5" t="s">
        <v>284</v>
      </c>
      <c r="B14" s="5" t="s">
        <v>135</v>
      </c>
      <c r="C14" s="5" t="n">
        <v>8</v>
      </c>
    </row>
    <row r="15" customFormat="false" ht="15" hidden="false" customHeight="true" outlineLevel="0" collapsed="false">
      <c r="A15" s="5" t="s">
        <v>285</v>
      </c>
      <c r="B15" s="5" t="s">
        <v>135</v>
      </c>
      <c r="C15" s="5" t="n">
        <v>6</v>
      </c>
    </row>
    <row r="16" customFormat="false" ht="15" hidden="false" customHeight="true" outlineLevel="0" collapsed="false">
      <c r="A16" s="5" t="s">
        <v>286</v>
      </c>
      <c r="B16" s="5" t="s">
        <v>287</v>
      </c>
      <c r="C16" s="5" t="n">
        <v>91</v>
      </c>
    </row>
    <row r="17" customFormat="false" ht="15" hidden="false" customHeight="true" outlineLevel="0" collapsed="false">
      <c r="A17" s="5" t="s">
        <v>288</v>
      </c>
      <c r="B17" s="5" t="s">
        <v>289</v>
      </c>
      <c r="C17" s="5" t="n">
        <v>672</v>
      </c>
    </row>
    <row r="18" customFormat="false" ht="15" hidden="false" customHeight="true" outlineLevel="0" collapsed="false">
      <c r="A18" s="5" t="s">
        <v>290</v>
      </c>
      <c r="B18" s="5" t="s">
        <v>135</v>
      </c>
      <c r="C18" s="5" t="n">
        <v>34</v>
      </c>
    </row>
    <row r="19" customFormat="false" ht="15" hidden="false" customHeight="true" outlineLevel="0" collapsed="false">
      <c r="A19" s="5" t="s">
        <v>291</v>
      </c>
      <c r="B19" s="5" t="s">
        <v>135</v>
      </c>
      <c r="C19" s="5" t="n">
        <v>12</v>
      </c>
    </row>
    <row r="20" customFormat="false" ht="15" hidden="false" customHeight="true" outlineLevel="0" collapsed="false">
      <c r="A20" s="5" t="s">
        <v>292</v>
      </c>
      <c r="B20" s="5" t="s">
        <v>136</v>
      </c>
      <c r="C20" s="5" t="n">
        <v>140</v>
      </c>
    </row>
    <row r="21" customFormat="false" ht="15" hidden="false" customHeight="true" outlineLevel="0" collapsed="false">
      <c r="A21" s="5" t="s">
        <v>293</v>
      </c>
      <c r="B21" s="5" t="s">
        <v>136</v>
      </c>
      <c r="C21" s="5" t="n">
        <v>146</v>
      </c>
    </row>
    <row r="22" customFormat="false" ht="15" hidden="false" customHeight="true" outlineLevel="0" collapsed="false">
      <c r="A22" s="5" t="s">
        <v>294</v>
      </c>
      <c r="B22" s="5" t="s">
        <v>136</v>
      </c>
      <c r="C22" s="5" t="s">
        <v>43</v>
      </c>
    </row>
    <row r="23" customFormat="false" ht="15" hidden="false" customHeight="true" outlineLevel="0" collapsed="false">
      <c r="A23" s="5" t="s">
        <v>295</v>
      </c>
      <c r="B23" s="5" t="s">
        <v>296</v>
      </c>
      <c r="C23" s="5" t="s">
        <v>297</v>
      </c>
    </row>
    <row r="25" customFormat="false" ht="30" hidden="false" customHeight="true" outlineLevel="0" collapsed="false">
      <c r="A25" s="17" t="s">
        <v>298</v>
      </c>
      <c r="B25" s="17"/>
      <c r="C25" s="17"/>
    </row>
  </sheetData>
  <mergeCells count="1">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17.25" hidden="false" customHeight="true" outlineLevel="0" collapsed="false">
      <c r="A1" s="2" t="s">
        <v>299</v>
      </c>
    </row>
    <row r="3" customFormat="false" ht="45" hidden="false" customHeight="true" outlineLevel="0" collapsed="false">
      <c r="A3" s="24" t="s">
        <v>300</v>
      </c>
      <c r="B3" s="25" t="s">
        <v>301</v>
      </c>
    </row>
    <row r="4" customFormat="false" ht="45" hidden="false" customHeight="true" outlineLevel="0" collapsed="false">
      <c r="A4" s="26"/>
      <c r="B4" s="25"/>
    </row>
    <row r="5" customFormat="false" ht="45" hidden="false" customHeight="true" outlineLevel="0" collapsed="false">
      <c r="A5" s="24" t="s">
        <v>302</v>
      </c>
      <c r="B5" s="25" t="s">
        <v>303</v>
      </c>
    </row>
    <row r="6" customFormat="false" ht="45" hidden="false" customHeight="true" outlineLevel="0" collapsed="false">
      <c r="A6" s="26"/>
      <c r="B6" s="25"/>
    </row>
    <row r="7" customFormat="false" ht="45" hidden="false" customHeight="true" outlineLevel="0" collapsed="false">
      <c r="A7" s="24" t="s">
        <v>304</v>
      </c>
      <c r="B7" s="25" t="s">
        <v>305</v>
      </c>
    </row>
    <row r="8" customFormat="false" ht="45" hidden="false" customHeight="true" outlineLevel="0" collapsed="false">
      <c r="A8" s="26"/>
      <c r="B8" s="25"/>
    </row>
    <row r="9" customFormat="false" ht="45" hidden="false" customHeight="true" outlineLevel="0" collapsed="false">
      <c r="A9" s="24" t="s">
        <v>306</v>
      </c>
      <c r="B9" s="25" t="s">
        <v>307</v>
      </c>
    </row>
    <row r="10" customFormat="false" ht="45" hidden="false" customHeight="true" outlineLevel="0" collapsed="false">
      <c r="A10" s="26"/>
      <c r="B10" s="25"/>
    </row>
    <row r="11" customFormat="false" ht="45" hidden="false" customHeight="true" outlineLevel="0" collapsed="false">
      <c r="A11" s="24" t="s">
        <v>308</v>
      </c>
      <c r="B11" s="25" t="s">
        <v>309</v>
      </c>
    </row>
    <row r="12" customFormat="false" ht="45" hidden="false" customHeight="true" outlineLevel="0" collapsed="false">
      <c r="A12" s="26"/>
      <c r="B12" s="25"/>
    </row>
    <row r="13" customFormat="false" ht="45" hidden="false" customHeight="true" outlineLevel="0" collapsed="false">
      <c r="A13" s="24" t="s">
        <v>310</v>
      </c>
      <c r="B13" s="25" t="s">
        <v>311</v>
      </c>
    </row>
    <row r="14" customFormat="false" ht="45" hidden="false" customHeight="true" outlineLevel="0" collapsed="false">
      <c r="A14" s="26"/>
      <c r="B14" s="25"/>
    </row>
    <row r="15" customFormat="false" ht="45" hidden="false" customHeight="true" outlineLevel="0" collapsed="false">
      <c r="A15" s="24" t="s">
        <v>312</v>
      </c>
      <c r="B15" s="25" t="s">
        <v>313</v>
      </c>
    </row>
    <row r="17" customFormat="false" ht="45" hidden="false" customHeight="true" outlineLevel="0" collapsed="false">
      <c r="A17" s="24" t="s">
        <v>314</v>
      </c>
      <c r="B17" s="25" t="s">
        <v>315</v>
      </c>
    </row>
    <row r="19" customFormat="false" ht="45" hidden="false" customHeight="true" outlineLevel="0" collapsed="false">
      <c r="A19" s="24" t="s">
        <v>316</v>
      </c>
      <c r="B19" s="25" t="s">
        <v>317</v>
      </c>
    </row>
    <row r="21" customFormat="false" ht="45" hidden="false" customHeight="true" outlineLevel="0" collapsed="false">
      <c r="A21" s="24" t="s">
        <v>318</v>
      </c>
      <c r="B21" s="25" t="s">
        <v>319</v>
      </c>
    </row>
    <row r="23" customFormat="false" ht="45" hidden="false" customHeight="true" outlineLevel="0" collapsed="false">
      <c r="A23" s="24" t="s">
        <v>320</v>
      </c>
      <c r="B23" s="25" t="s">
        <v>321</v>
      </c>
    </row>
    <row r="25" customFormat="false" ht="45" hidden="false" customHeight="true" outlineLevel="0" collapsed="false">
      <c r="A25" s="24" t="s">
        <v>322</v>
      </c>
      <c r="B25" s="25"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2026-08-28T12:14:02Z</dcterms:created>
  <dc:creator>openpyxl</dc:creator>
  <dc:description/>
  <dc:language>en-US</dc:language>
  <cp:lastModifiedBy/>
  <dcterms:modified xsi:type="dcterms:W3CDTF">2026-08-28T12:36:33Z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